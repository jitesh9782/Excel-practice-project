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2AC9950-D09F-425F-8AEA-366D83B6734C}" xr6:coauthVersionLast="47" xr6:coauthVersionMax="47" xr10:uidLastSave="{00000000-0000-0000-0000-000000000000}"/>
  <bookViews>
    <workbookView xWindow="-120" yWindow="-120" windowWidth="20730" windowHeight="11160" firstSheet="2" activeTab="13" xr2:uid="{C93D76A9-39B2-4C8F-9272-2EA93B606B37}"/>
  </bookViews>
  <sheets>
    <sheet name="Sheet1" sheetId="1" r:id="rId1"/>
    <sheet name="Sheet3" sheetId="3" r:id="rId2"/>
    <sheet name="Jan" sheetId="2" r:id="rId3"/>
    <sheet name="Feb" sheetId="26" r:id="rId4"/>
    <sheet name="Mar" sheetId="27" r:id="rId5"/>
    <sheet name="Apr" sheetId="28" r:id="rId6"/>
    <sheet name="May" sheetId="29" r:id="rId7"/>
    <sheet name="Jun" sheetId="30" r:id="rId8"/>
    <sheet name="July" sheetId="31" r:id="rId9"/>
    <sheet name="Aug" sheetId="32" r:id="rId10"/>
    <sheet name="Sep" sheetId="33" r:id="rId11"/>
    <sheet name="Oct" sheetId="34" r:id="rId12"/>
    <sheet name="Nov" sheetId="35" r:id="rId13"/>
    <sheet name="Dec" sheetId="3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" i="36" l="1"/>
  <c r="AV10" i="36"/>
  <c r="AV11" i="36"/>
  <c r="AV12" i="36"/>
  <c r="AV13" i="36"/>
  <c r="AV14" i="36"/>
  <c r="AV15" i="36"/>
  <c r="AV16" i="36"/>
  <c r="AV17" i="36"/>
  <c r="AV18" i="36"/>
  <c r="AV19" i="36"/>
  <c r="AV20" i="36"/>
  <c r="AV21" i="36"/>
  <c r="AV22" i="36"/>
  <c r="AV23" i="36"/>
  <c r="AV24" i="36"/>
  <c r="AV25" i="36"/>
  <c r="AV26" i="36"/>
  <c r="AV27" i="36"/>
  <c r="AV28" i="36"/>
  <c r="AW9" i="36"/>
  <c r="AW10" i="36"/>
  <c r="AW11" i="36"/>
  <c r="AW12" i="36"/>
  <c r="AW13" i="36"/>
  <c r="AW14" i="36"/>
  <c r="AW15" i="36"/>
  <c r="AW16" i="36"/>
  <c r="AW17" i="36"/>
  <c r="AW18" i="36"/>
  <c r="AW19" i="36"/>
  <c r="AW20" i="36"/>
  <c r="AW21" i="36"/>
  <c r="AW22" i="36"/>
  <c r="AW23" i="36"/>
  <c r="AW24" i="36"/>
  <c r="AW25" i="36"/>
  <c r="AW26" i="36"/>
  <c r="AW27" i="36"/>
  <c r="AW28" i="36"/>
  <c r="AX9" i="36"/>
  <c r="AX10" i="36"/>
  <c r="AX11" i="36"/>
  <c r="AX12" i="36"/>
  <c r="AX13" i="36"/>
  <c r="AX14" i="36"/>
  <c r="AX15" i="36"/>
  <c r="AX16" i="36"/>
  <c r="AX17" i="36"/>
  <c r="AX18" i="36"/>
  <c r="AX19" i="36"/>
  <c r="AX20" i="36"/>
  <c r="AX21" i="36"/>
  <c r="AX22" i="36"/>
  <c r="AX23" i="36"/>
  <c r="AX24" i="36"/>
  <c r="AX25" i="36"/>
  <c r="AX26" i="36"/>
  <c r="AX27" i="36"/>
  <c r="AX28" i="36"/>
  <c r="AV9" i="35"/>
  <c r="AV10" i="35"/>
  <c r="AV11" i="35"/>
  <c r="AV12" i="35"/>
  <c r="AV13" i="35"/>
  <c r="AV14" i="35"/>
  <c r="AV15" i="35"/>
  <c r="AV16" i="35"/>
  <c r="AV17" i="35"/>
  <c r="AV18" i="35"/>
  <c r="AV19" i="35"/>
  <c r="AV20" i="35"/>
  <c r="AV21" i="35"/>
  <c r="AV22" i="35"/>
  <c r="AV23" i="35"/>
  <c r="AV24" i="35"/>
  <c r="AV25" i="35"/>
  <c r="AV26" i="35"/>
  <c r="AV27" i="35"/>
  <c r="AV28" i="35"/>
  <c r="AW9" i="35"/>
  <c r="AW10" i="35"/>
  <c r="AW11" i="35"/>
  <c r="AW12" i="35"/>
  <c r="AW13" i="35"/>
  <c r="AW14" i="35"/>
  <c r="AW15" i="35"/>
  <c r="AW16" i="35"/>
  <c r="AW17" i="35"/>
  <c r="AW18" i="35"/>
  <c r="AW19" i="35"/>
  <c r="AW20" i="35"/>
  <c r="AW21" i="35"/>
  <c r="AW22" i="35"/>
  <c r="AW23" i="35"/>
  <c r="AW24" i="35"/>
  <c r="AW25" i="35"/>
  <c r="AW26" i="35"/>
  <c r="AW27" i="35"/>
  <c r="AW28" i="35"/>
  <c r="AX9" i="35"/>
  <c r="AX10" i="35"/>
  <c r="AX11" i="35"/>
  <c r="AX12" i="35"/>
  <c r="AX13" i="35"/>
  <c r="AX14" i="35"/>
  <c r="AX15" i="35"/>
  <c r="AX16" i="35"/>
  <c r="AX17" i="35"/>
  <c r="AX18" i="35"/>
  <c r="AX19" i="35"/>
  <c r="AX20" i="35"/>
  <c r="AX21" i="35"/>
  <c r="AX22" i="35"/>
  <c r="AX23" i="35"/>
  <c r="AX24" i="35"/>
  <c r="AX25" i="35"/>
  <c r="AX26" i="35"/>
  <c r="AX27" i="35"/>
  <c r="AX28" i="35"/>
  <c r="AV9" i="34"/>
  <c r="AV10" i="34"/>
  <c r="AV11" i="34"/>
  <c r="AV12" i="34"/>
  <c r="AV13" i="34"/>
  <c r="AV14" i="34"/>
  <c r="AV15" i="34"/>
  <c r="AV16" i="34"/>
  <c r="AV17" i="34"/>
  <c r="AV18" i="34"/>
  <c r="AV19" i="34"/>
  <c r="AV20" i="34"/>
  <c r="AV21" i="34"/>
  <c r="AV22" i="34"/>
  <c r="AV23" i="34"/>
  <c r="AV24" i="34"/>
  <c r="AV25" i="34"/>
  <c r="AV26" i="34"/>
  <c r="AV27" i="34"/>
  <c r="AV28" i="34"/>
  <c r="AW9" i="34"/>
  <c r="AW10" i="34"/>
  <c r="AW11" i="34"/>
  <c r="AW12" i="34"/>
  <c r="AW13" i="34"/>
  <c r="AW14" i="34"/>
  <c r="AW15" i="34"/>
  <c r="AW16" i="34"/>
  <c r="AW17" i="34"/>
  <c r="AW18" i="34"/>
  <c r="AW19" i="34"/>
  <c r="AW20" i="34"/>
  <c r="AW21" i="34"/>
  <c r="AW22" i="34"/>
  <c r="AW23" i="34"/>
  <c r="AW24" i="34"/>
  <c r="AW25" i="34"/>
  <c r="AW26" i="34"/>
  <c r="AW27" i="34"/>
  <c r="AW28" i="34"/>
  <c r="AX9" i="34"/>
  <c r="AX10" i="34"/>
  <c r="AX11" i="34"/>
  <c r="AX12" i="34"/>
  <c r="AX13" i="34"/>
  <c r="AX14" i="34"/>
  <c r="AX15" i="34"/>
  <c r="AX16" i="34"/>
  <c r="AX17" i="34"/>
  <c r="AX18" i="34"/>
  <c r="AX19" i="34"/>
  <c r="AX20" i="34"/>
  <c r="AX21" i="34"/>
  <c r="AX22" i="34"/>
  <c r="AX23" i="34"/>
  <c r="AX24" i="34"/>
  <c r="AX25" i="34"/>
  <c r="AX26" i="34"/>
  <c r="AX27" i="34"/>
  <c r="AX28" i="34"/>
  <c r="AV9" i="33"/>
  <c r="AX9" i="33"/>
  <c r="AW9" i="33"/>
  <c r="AV10" i="33"/>
  <c r="AV11" i="33"/>
  <c r="AV12" i="33"/>
  <c r="AV13" i="33"/>
  <c r="AV14" i="33"/>
  <c r="AV15" i="33"/>
  <c r="AV16" i="33"/>
  <c r="AV17" i="33"/>
  <c r="AV18" i="33"/>
  <c r="AV19" i="33"/>
  <c r="AV20" i="33"/>
  <c r="AV21" i="33"/>
  <c r="AV22" i="33"/>
  <c r="AV23" i="33"/>
  <c r="AV24" i="33"/>
  <c r="AV25" i="33"/>
  <c r="AV26" i="33"/>
  <c r="AV27" i="33"/>
  <c r="AV28" i="33"/>
  <c r="AW10" i="33"/>
  <c r="AW11" i="33"/>
  <c r="AW12" i="33"/>
  <c r="AW13" i="33"/>
  <c r="AW14" i="33"/>
  <c r="AW15" i="33"/>
  <c r="AW16" i="33"/>
  <c r="AW17" i="33"/>
  <c r="AW18" i="33"/>
  <c r="AW19" i="33"/>
  <c r="AW20" i="33"/>
  <c r="AW21" i="33"/>
  <c r="AW22" i="33"/>
  <c r="AW23" i="33"/>
  <c r="AW24" i="33"/>
  <c r="AW25" i="33"/>
  <c r="AW26" i="33"/>
  <c r="AW27" i="33"/>
  <c r="AW28" i="33"/>
  <c r="AX10" i="33"/>
  <c r="AX11" i="33"/>
  <c r="AX12" i="33"/>
  <c r="AX13" i="33"/>
  <c r="AX14" i="33"/>
  <c r="AX15" i="33"/>
  <c r="AX16" i="33"/>
  <c r="AX17" i="33"/>
  <c r="AX18" i="33"/>
  <c r="AX19" i="33"/>
  <c r="AX20" i="33"/>
  <c r="AX21" i="33"/>
  <c r="AX22" i="33"/>
  <c r="AX23" i="33"/>
  <c r="AX24" i="33"/>
  <c r="AX25" i="33"/>
  <c r="AX26" i="33"/>
  <c r="AX27" i="33"/>
  <c r="AX28" i="33"/>
  <c r="AX9" i="32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W9" i="32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V9" i="32"/>
  <c r="AV10" i="32"/>
  <c r="AV11" i="32"/>
  <c r="AV12" i="32"/>
  <c r="AV13" i="32"/>
  <c r="AV14" i="32"/>
  <c r="AV15" i="32"/>
  <c r="AV16" i="32"/>
  <c r="AV17" i="32"/>
  <c r="AV18" i="32"/>
  <c r="AV19" i="32"/>
  <c r="AV20" i="32"/>
  <c r="AV21" i="32"/>
  <c r="AV22" i="32"/>
  <c r="AV23" i="32"/>
  <c r="AV24" i="32"/>
  <c r="AV25" i="32"/>
  <c r="AV26" i="32"/>
  <c r="AV27" i="32"/>
  <c r="AV28" i="32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W9" i="31"/>
  <c r="AW10" i="31"/>
  <c r="AW11" i="31"/>
  <c r="AW12" i="31"/>
  <c r="AW13" i="31"/>
  <c r="AW14" i="31"/>
  <c r="AW15" i="31"/>
  <c r="AW16" i="31"/>
  <c r="AW17" i="31"/>
  <c r="AW18" i="31"/>
  <c r="AW19" i="31"/>
  <c r="AW20" i="31"/>
  <c r="AW21" i="31"/>
  <c r="AW22" i="31"/>
  <c r="AW23" i="31"/>
  <c r="AW24" i="31"/>
  <c r="AW25" i="31"/>
  <c r="AW26" i="31"/>
  <c r="AW27" i="31"/>
  <c r="AW28" i="31"/>
  <c r="AV9" i="31"/>
  <c r="AV10" i="31"/>
  <c r="AV11" i="31"/>
  <c r="AV12" i="31"/>
  <c r="AV13" i="31"/>
  <c r="AV14" i="31"/>
  <c r="AV15" i="31"/>
  <c r="AV16" i="31"/>
  <c r="AV17" i="31"/>
  <c r="AV18" i="31"/>
  <c r="AV19" i="31"/>
  <c r="AV20" i="31"/>
  <c r="AV21" i="31"/>
  <c r="AV22" i="31"/>
  <c r="AV23" i="31"/>
  <c r="AV24" i="31"/>
  <c r="AV25" i="31"/>
  <c r="AV26" i="31"/>
  <c r="AV27" i="31"/>
  <c r="AV28" i="31"/>
  <c r="AX9" i="30"/>
  <c r="AX10" i="30"/>
  <c r="AX11" i="30"/>
  <c r="AX12" i="30"/>
  <c r="AX13" i="30"/>
  <c r="AX14" i="30"/>
  <c r="AX15" i="30"/>
  <c r="AX16" i="30"/>
  <c r="AX17" i="30"/>
  <c r="AX18" i="30"/>
  <c r="AX19" i="30"/>
  <c r="AX20" i="30"/>
  <c r="AX21" i="30"/>
  <c r="AX22" i="30"/>
  <c r="AX23" i="30"/>
  <c r="AX24" i="30"/>
  <c r="AX25" i="30"/>
  <c r="AX26" i="30"/>
  <c r="AX27" i="30"/>
  <c r="AX28" i="30"/>
  <c r="AW9" i="30"/>
  <c r="AW10" i="30"/>
  <c r="AW11" i="30"/>
  <c r="AW12" i="30"/>
  <c r="AW13" i="30"/>
  <c r="AW14" i="30"/>
  <c r="AW15" i="30"/>
  <c r="AW16" i="30"/>
  <c r="AW17" i="30"/>
  <c r="AW18" i="30"/>
  <c r="AW19" i="30"/>
  <c r="AW20" i="30"/>
  <c r="AW21" i="30"/>
  <c r="AW22" i="30"/>
  <c r="AW23" i="30"/>
  <c r="AW24" i="30"/>
  <c r="AW25" i="30"/>
  <c r="AW26" i="30"/>
  <c r="AW27" i="30"/>
  <c r="AW28" i="30"/>
  <c r="AV9" i="30"/>
  <c r="AV10" i="30"/>
  <c r="AV11" i="30"/>
  <c r="AV12" i="30"/>
  <c r="AV13" i="30"/>
  <c r="AV14" i="30"/>
  <c r="AV15" i="30"/>
  <c r="AV16" i="30"/>
  <c r="AV17" i="30"/>
  <c r="AV18" i="30"/>
  <c r="AV19" i="30"/>
  <c r="AV20" i="30"/>
  <c r="AV21" i="30"/>
  <c r="AV22" i="30"/>
  <c r="AV23" i="30"/>
  <c r="AV24" i="30"/>
  <c r="AV25" i="30"/>
  <c r="AV26" i="30"/>
  <c r="AV27" i="30"/>
  <c r="AV28" i="30"/>
  <c r="AW9" i="29"/>
  <c r="AW10" i="29"/>
  <c r="AW11" i="29"/>
  <c r="AW12" i="29"/>
  <c r="AW13" i="29"/>
  <c r="AW14" i="29"/>
  <c r="AW15" i="29"/>
  <c r="AW16" i="29"/>
  <c r="AW17" i="29"/>
  <c r="AW18" i="29"/>
  <c r="AW19" i="29"/>
  <c r="AW20" i="29"/>
  <c r="AW21" i="29"/>
  <c r="AW22" i="29"/>
  <c r="AW23" i="29"/>
  <c r="AW24" i="29"/>
  <c r="AW25" i="29"/>
  <c r="AW26" i="29"/>
  <c r="AW27" i="29"/>
  <c r="AW28" i="29"/>
  <c r="AX9" i="29"/>
  <c r="AV9" i="29"/>
  <c r="AV10" i="29"/>
  <c r="AV11" i="29"/>
  <c r="AV12" i="29"/>
  <c r="AV13" i="29"/>
  <c r="AV14" i="29"/>
  <c r="AV15" i="29"/>
  <c r="AV16" i="29"/>
  <c r="AV17" i="29"/>
  <c r="AV18" i="29"/>
  <c r="AV19" i="29"/>
  <c r="AV20" i="29"/>
  <c r="AV21" i="29"/>
  <c r="AV22" i="29"/>
  <c r="AV23" i="29"/>
  <c r="AV24" i="29"/>
  <c r="AV25" i="29"/>
  <c r="AV26" i="29"/>
  <c r="AV27" i="29"/>
  <c r="AV28" i="29"/>
  <c r="AV9" i="28"/>
  <c r="AV10" i="28"/>
  <c r="AV11" i="28"/>
  <c r="AV12" i="28"/>
  <c r="AV13" i="28"/>
  <c r="AV14" i="28"/>
  <c r="AV15" i="28"/>
  <c r="AV16" i="28"/>
  <c r="AV17" i="28"/>
  <c r="AV18" i="28"/>
  <c r="AV19" i="28"/>
  <c r="AV20" i="28"/>
  <c r="AV21" i="28"/>
  <c r="AV22" i="28"/>
  <c r="AV23" i="28"/>
  <c r="AV24" i="28"/>
  <c r="AV25" i="28"/>
  <c r="AV26" i="28"/>
  <c r="AV27" i="28"/>
  <c r="AV28" i="28"/>
  <c r="AW9" i="28"/>
  <c r="AW10" i="28"/>
  <c r="AW11" i="28"/>
  <c r="AW12" i="28"/>
  <c r="AW13" i="28"/>
  <c r="AW14" i="28"/>
  <c r="AW15" i="28"/>
  <c r="AW16" i="28"/>
  <c r="AW17" i="28"/>
  <c r="AW18" i="28"/>
  <c r="AW19" i="28"/>
  <c r="AW20" i="28"/>
  <c r="AW21" i="28"/>
  <c r="AW22" i="28"/>
  <c r="AW23" i="28"/>
  <c r="AW24" i="28"/>
  <c r="AW25" i="28"/>
  <c r="AW26" i="28"/>
  <c r="AW27" i="28"/>
  <c r="AW28" i="28"/>
  <c r="AX9" i="28"/>
  <c r="AX10" i="28"/>
  <c r="AX11" i="28"/>
  <c r="AX12" i="28"/>
  <c r="AX13" i="28"/>
  <c r="AX14" i="28"/>
  <c r="AX15" i="28"/>
  <c r="AX16" i="28"/>
  <c r="AX17" i="28"/>
  <c r="AX18" i="28"/>
  <c r="AX19" i="28"/>
  <c r="AX20" i="28"/>
  <c r="AX21" i="28"/>
  <c r="AX22" i="28"/>
  <c r="AX23" i="28"/>
  <c r="AX24" i="28"/>
  <c r="AX25" i="28"/>
  <c r="AX26" i="28"/>
  <c r="AX27" i="28"/>
  <c r="AX28" i="28"/>
  <c r="AX9" i="27"/>
  <c r="AX10" i="27"/>
  <c r="AX11" i="27"/>
  <c r="AX12" i="27"/>
  <c r="AX13" i="27"/>
  <c r="AX14" i="27"/>
  <c r="AX15" i="27"/>
  <c r="AX16" i="27"/>
  <c r="AX17" i="27"/>
  <c r="AX18" i="27"/>
  <c r="AX19" i="27"/>
  <c r="AX20" i="27"/>
  <c r="AX21" i="27"/>
  <c r="AX22" i="27"/>
  <c r="AX23" i="27"/>
  <c r="AX24" i="27"/>
  <c r="AX25" i="27"/>
  <c r="AX26" i="27"/>
  <c r="AX27" i="27"/>
  <c r="AX28" i="27"/>
  <c r="AW9" i="27"/>
  <c r="AW10" i="27"/>
  <c r="AW11" i="27"/>
  <c r="AW12" i="27"/>
  <c r="AW13" i="27"/>
  <c r="AW14" i="27"/>
  <c r="AW15" i="27"/>
  <c r="AW16" i="27"/>
  <c r="AW17" i="27"/>
  <c r="AW18" i="27"/>
  <c r="AW19" i="27"/>
  <c r="AW20" i="27"/>
  <c r="AW21" i="27"/>
  <c r="AW22" i="27"/>
  <c r="AW23" i="27"/>
  <c r="AW24" i="27"/>
  <c r="AW25" i="27"/>
  <c r="AW26" i="27"/>
  <c r="AW27" i="27"/>
  <c r="AW2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9" i="26"/>
  <c r="AV9" i="2"/>
  <c r="AX10" i="29"/>
  <c r="AX11" i="29"/>
  <c r="AX12" i="29"/>
  <c r="AX13" i="29"/>
  <c r="AX14" i="29"/>
  <c r="AX15" i="29"/>
  <c r="AX16" i="29"/>
  <c r="AX17" i="29"/>
  <c r="AX18" i="29"/>
  <c r="AX19" i="29"/>
  <c r="AX20" i="29"/>
  <c r="AX21" i="29"/>
  <c r="AX22" i="29"/>
  <c r="AX23" i="29"/>
  <c r="AX24" i="29"/>
  <c r="AX25" i="29"/>
  <c r="AX26" i="29"/>
  <c r="AX27" i="29"/>
  <c r="AX28" i="29"/>
  <c r="AX10" i="26"/>
  <c r="AX9" i="26"/>
  <c r="AX11" i="26"/>
  <c r="AX12" i="26"/>
  <c r="AX13" i="26"/>
  <c r="AX14" i="26"/>
  <c r="AX15" i="26"/>
  <c r="AX16" i="26"/>
  <c r="AX17" i="26"/>
  <c r="AX18" i="26"/>
  <c r="AX19" i="26"/>
  <c r="AX20" i="26"/>
  <c r="AX21" i="26"/>
  <c r="AX22" i="26"/>
  <c r="AX23" i="26"/>
  <c r="AX24" i="26"/>
  <c r="AX25" i="26"/>
  <c r="AX26" i="26"/>
  <c r="AX27" i="26"/>
  <c r="AX28" i="26"/>
  <c r="AW10" i="26"/>
  <c r="AW9" i="26"/>
  <c r="AW11" i="26"/>
  <c r="AW12" i="26"/>
  <c r="AW13" i="26"/>
  <c r="AW14" i="26"/>
  <c r="AW15" i="26"/>
  <c r="AW16" i="26"/>
  <c r="AW17" i="26"/>
  <c r="AW18" i="26"/>
  <c r="AW19" i="26"/>
  <c r="AW20" i="26"/>
  <c r="AW21" i="26"/>
  <c r="AW22" i="26"/>
  <c r="AW23" i="26"/>
  <c r="AW24" i="26"/>
  <c r="AW25" i="26"/>
  <c r="AW26" i="26"/>
  <c r="AW27" i="26"/>
  <c r="AW28" i="26"/>
  <c r="AV10" i="26"/>
  <c r="AV11" i="26"/>
  <c r="AV12" i="26"/>
  <c r="AV13" i="26"/>
  <c r="AV14" i="26"/>
  <c r="AV15" i="26"/>
  <c r="AV16" i="26"/>
  <c r="AV17" i="26"/>
  <c r="AV18" i="26"/>
  <c r="AV19" i="26"/>
  <c r="AV20" i="26"/>
  <c r="AV21" i="26"/>
  <c r="AV22" i="26"/>
  <c r="AV23" i="26"/>
  <c r="AV24" i="26"/>
  <c r="AV25" i="26"/>
  <c r="AV26" i="26"/>
  <c r="AV27" i="26"/>
  <c r="AV28" i="26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9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BB28" i="36"/>
  <c r="BB27" i="36"/>
  <c r="BB26" i="36"/>
  <c r="BB25" i="36"/>
  <c r="BB24" i="36"/>
  <c r="BB23" i="36"/>
  <c r="BB22" i="36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K8" i="36"/>
  <c r="L4" i="36"/>
  <c r="I4" i="36" s="1"/>
  <c r="J4" i="36"/>
  <c r="AU17" i="36" s="1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L8" i="35"/>
  <c r="K8" i="35"/>
  <c r="K7" i="35" s="1"/>
  <c r="L4" i="35"/>
  <c r="I4" i="35" s="1"/>
  <c r="J4" i="35"/>
  <c r="BB28" i="34"/>
  <c r="BB27" i="34"/>
  <c r="BB26" i="34"/>
  <c r="BB25" i="34"/>
  <c r="BB24" i="34"/>
  <c r="BB23" i="34"/>
  <c r="BB22" i="34"/>
  <c r="BB21" i="34"/>
  <c r="BB20" i="34"/>
  <c r="BB19" i="34"/>
  <c r="BB18" i="34"/>
  <c r="BB17" i="34"/>
  <c r="BB16" i="34"/>
  <c r="BB15" i="34"/>
  <c r="BB14" i="34"/>
  <c r="BB13" i="34"/>
  <c r="AU13" i="34"/>
  <c r="BB12" i="34"/>
  <c r="BB11" i="34"/>
  <c r="BB10" i="34"/>
  <c r="BB9" i="34"/>
  <c r="K8" i="34"/>
  <c r="L4" i="34"/>
  <c r="I4" i="34" s="1"/>
  <c r="J4" i="34"/>
  <c r="AU18" i="34" s="1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K8" i="33"/>
  <c r="L4" i="33"/>
  <c r="I4" i="33" s="1"/>
  <c r="J4" i="33"/>
  <c r="BB28" i="32"/>
  <c r="BB27" i="32"/>
  <c r="BB26" i="32"/>
  <c r="BB25" i="32"/>
  <c r="BB24" i="32"/>
  <c r="BB23" i="32"/>
  <c r="BB22" i="32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K8" i="32"/>
  <c r="L8" i="32" s="1"/>
  <c r="L4" i="32"/>
  <c r="I4" i="32" s="1"/>
  <c r="AZ28" i="32" s="1"/>
  <c r="BA28" i="32" s="1"/>
  <c r="J4" i="32"/>
  <c r="BB28" i="31"/>
  <c r="BB27" i="31"/>
  <c r="BB26" i="31"/>
  <c r="BB25" i="31"/>
  <c r="BB24" i="31"/>
  <c r="BB23" i="31"/>
  <c r="BB22" i="31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K8" i="31"/>
  <c r="L4" i="31"/>
  <c r="I4" i="31" s="1"/>
  <c r="J4" i="31"/>
  <c r="BB28" i="30"/>
  <c r="BB27" i="30"/>
  <c r="BB26" i="30"/>
  <c r="BB25" i="30"/>
  <c r="BB24" i="30"/>
  <c r="BB23" i="30"/>
  <c r="BB22" i="30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K8" i="30"/>
  <c r="L8" i="30" s="1"/>
  <c r="L4" i="30"/>
  <c r="I4" i="30" s="1"/>
  <c r="J4" i="30"/>
  <c r="BB28" i="29"/>
  <c r="BB27" i="29"/>
  <c r="BB26" i="29"/>
  <c r="BB25" i="29"/>
  <c r="BB24" i="29"/>
  <c r="BB23" i="29"/>
  <c r="BB22" i="29"/>
  <c r="BB21" i="29"/>
  <c r="BB20" i="29"/>
  <c r="BB19" i="29"/>
  <c r="BB18" i="29"/>
  <c r="BB17" i="29"/>
  <c r="BB16" i="29"/>
  <c r="BB15" i="29"/>
  <c r="BB14" i="29"/>
  <c r="BB13" i="29"/>
  <c r="BB12" i="29"/>
  <c r="BB11" i="29"/>
  <c r="BB10" i="29"/>
  <c r="BB9" i="29"/>
  <c r="K8" i="29"/>
  <c r="L4" i="29"/>
  <c r="I4" i="29" s="1"/>
  <c r="AZ13" i="29" s="1"/>
  <c r="J4" i="29"/>
  <c r="AU14" i="29" s="1"/>
  <c r="BB28" i="28"/>
  <c r="BB27" i="28"/>
  <c r="BB26" i="28"/>
  <c r="BB25" i="28"/>
  <c r="BB24" i="28"/>
  <c r="BB23" i="28"/>
  <c r="BB22" i="28"/>
  <c r="BB21" i="28"/>
  <c r="BB20" i="28"/>
  <c r="BB19" i="28"/>
  <c r="BB18" i="28"/>
  <c r="BB17" i="28"/>
  <c r="BB16" i="28"/>
  <c r="BB15" i="28"/>
  <c r="BB14" i="28"/>
  <c r="BB13" i="28"/>
  <c r="BB12" i="28"/>
  <c r="BB11" i="28"/>
  <c r="BB10" i="28"/>
  <c r="BB9" i="28"/>
  <c r="K8" i="28"/>
  <c r="L4" i="28"/>
  <c r="J4" i="28"/>
  <c r="I4" i="28"/>
  <c r="BB28" i="27"/>
  <c r="BB27" i="27"/>
  <c r="BB26" i="27"/>
  <c r="BB25" i="27"/>
  <c r="BB24" i="27"/>
  <c r="BB23" i="27"/>
  <c r="BB22" i="27"/>
  <c r="BB21" i="27"/>
  <c r="BB20" i="27"/>
  <c r="BB19" i="27"/>
  <c r="BB18" i="27"/>
  <c r="BB17" i="27"/>
  <c r="BB16" i="27"/>
  <c r="BB15" i="27"/>
  <c r="BB14" i="27"/>
  <c r="BB13" i="27"/>
  <c r="BB12" i="27"/>
  <c r="BB11" i="27"/>
  <c r="BB10" i="27"/>
  <c r="BB9" i="27"/>
  <c r="K8" i="27"/>
  <c r="L8" i="27" s="1"/>
  <c r="L4" i="27"/>
  <c r="I4" i="27" s="1"/>
  <c r="J4" i="27"/>
  <c r="BB28" i="26"/>
  <c r="BB27" i="26"/>
  <c r="BB26" i="26"/>
  <c r="BB25" i="26"/>
  <c r="BB24" i="26"/>
  <c r="BB23" i="26"/>
  <c r="BB22" i="26"/>
  <c r="BB21" i="26"/>
  <c r="BB20" i="26"/>
  <c r="BB19" i="26"/>
  <c r="BB18" i="26"/>
  <c r="BB17" i="26"/>
  <c r="BB16" i="26"/>
  <c r="BB15" i="26"/>
  <c r="BB14" i="26"/>
  <c r="BB13" i="26"/>
  <c r="BB12" i="26"/>
  <c r="BB11" i="26"/>
  <c r="BB10" i="26"/>
  <c r="BB9" i="26"/>
  <c r="K8" i="26"/>
  <c r="L4" i="26"/>
  <c r="I4" i="26" s="1"/>
  <c r="J4" i="26"/>
  <c r="J4" i="2"/>
  <c r="AU9" i="2" s="1"/>
  <c r="L4" i="2"/>
  <c r="I4" i="2" s="1"/>
  <c r="K7" i="2"/>
  <c r="K8" i="2"/>
  <c r="L8" i="2"/>
  <c r="AZ9" i="2"/>
  <c r="BB9" i="2"/>
  <c r="AZ10" i="2"/>
  <c r="BB10" i="2"/>
  <c r="AZ11" i="2"/>
  <c r="BB11" i="2"/>
  <c r="AZ12" i="2"/>
  <c r="BB12" i="2"/>
  <c r="AZ13" i="2"/>
  <c r="BB13" i="2"/>
  <c r="AU14" i="2"/>
  <c r="AZ14" i="2"/>
  <c r="BB14" i="2"/>
  <c r="AU15" i="2"/>
  <c r="AZ15" i="2"/>
  <c r="BB15" i="2"/>
  <c r="AU16" i="2"/>
  <c r="AZ16" i="2"/>
  <c r="BB16" i="2"/>
  <c r="AU17" i="2"/>
  <c r="AZ17" i="2"/>
  <c r="BB17" i="2"/>
  <c r="AU18" i="2"/>
  <c r="AZ18" i="2"/>
  <c r="BB18" i="2"/>
  <c r="AU19" i="2"/>
  <c r="AZ19" i="2"/>
  <c r="BB19" i="2"/>
  <c r="AU20" i="2"/>
  <c r="AZ20" i="2"/>
  <c r="BB20" i="2"/>
  <c r="AU21" i="2"/>
  <c r="AZ21" i="2"/>
  <c r="BB21" i="2"/>
  <c r="AU22" i="2"/>
  <c r="AZ22" i="2"/>
  <c r="BB22" i="2"/>
  <c r="AU23" i="2"/>
  <c r="AZ23" i="2"/>
  <c r="BB23" i="2"/>
  <c r="AU24" i="2"/>
  <c r="AZ24" i="2"/>
  <c r="BB24" i="2"/>
  <c r="AU25" i="2"/>
  <c r="AZ25" i="2"/>
  <c r="BB25" i="2"/>
  <c r="AU26" i="2"/>
  <c r="AZ26" i="2"/>
  <c r="BB26" i="2"/>
  <c r="AU27" i="2"/>
  <c r="AZ27" i="2"/>
  <c r="BB27" i="2"/>
  <c r="AU28" i="2"/>
  <c r="AZ28" i="2"/>
  <c r="BB28" i="2"/>
  <c r="L8" i="26" l="1"/>
  <c r="M8" i="26" s="1"/>
  <c r="BD9" i="29"/>
  <c r="BE9" i="29" s="1"/>
  <c r="BD11" i="29"/>
  <c r="BE11" i="29" s="1"/>
  <c r="BD13" i="29"/>
  <c r="BE13" i="29" s="1"/>
  <c r="BD9" i="35"/>
  <c r="BE9" i="35" s="1"/>
  <c r="BA13" i="29"/>
  <c r="BC13" i="29" s="1"/>
  <c r="BD25" i="36"/>
  <c r="BE25" i="36" s="1"/>
  <c r="AZ28" i="36"/>
  <c r="BA28" i="36" s="1"/>
  <c r="BC28" i="36" s="1"/>
  <c r="AZ27" i="36"/>
  <c r="BA27" i="36" s="1"/>
  <c r="BC27" i="36" s="1"/>
  <c r="AZ26" i="36"/>
  <c r="BA26" i="36" s="1"/>
  <c r="BC26" i="36" s="1"/>
  <c r="AZ25" i="36"/>
  <c r="BA25" i="36" s="1"/>
  <c r="BC25" i="36" s="1"/>
  <c r="AZ24" i="36"/>
  <c r="BA24" i="36" s="1"/>
  <c r="BC24" i="36" s="1"/>
  <c r="AZ23" i="36"/>
  <c r="BA23" i="36" s="1"/>
  <c r="BC23" i="36" s="1"/>
  <c r="AZ22" i="36"/>
  <c r="BA22" i="36" s="1"/>
  <c r="BC22" i="36" s="1"/>
  <c r="AZ21" i="36"/>
  <c r="BA21" i="36" s="1"/>
  <c r="BC21" i="36" s="1"/>
  <c r="AZ20" i="36"/>
  <c r="BA20" i="36" s="1"/>
  <c r="BC20" i="36" s="1"/>
  <c r="AZ19" i="36"/>
  <c r="BA19" i="36" s="1"/>
  <c r="BC19" i="36" s="1"/>
  <c r="AZ18" i="36"/>
  <c r="BA18" i="36" s="1"/>
  <c r="AZ17" i="36"/>
  <c r="BA17" i="36" s="1"/>
  <c r="BC17" i="36" s="1"/>
  <c r="AZ16" i="36"/>
  <c r="BA16" i="36" s="1"/>
  <c r="BC16" i="36" s="1"/>
  <c r="AZ15" i="36"/>
  <c r="BA15" i="36" s="1"/>
  <c r="BC15" i="36" s="1"/>
  <c r="AZ14" i="36"/>
  <c r="BA14" i="36" s="1"/>
  <c r="BC14" i="36" s="1"/>
  <c r="AZ13" i="36"/>
  <c r="BA13" i="36" s="1"/>
  <c r="BC13" i="36" s="1"/>
  <c r="AZ12" i="36"/>
  <c r="BA12" i="36" s="1"/>
  <c r="BC12" i="36" s="1"/>
  <c r="AZ11" i="36"/>
  <c r="BA11" i="36" s="1"/>
  <c r="BC11" i="36" s="1"/>
  <c r="AZ10" i="36"/>
  <c r="BA10" i="36" s="1"/>
  <c r="BC10" i="36" s="1"/>
  <c r="AZ9" i="36"/>
  <c r="BA9" i="36" s="1"/>
  <c r="BC9" i="36" s="1"/>
  <c r="L8" i="36"/>
  <c r="K7" i="36"/>
  <c r="AU9" i="36"/>
  <c r="AU10" i="36"/>
  <c r="AU11" i="36"/>
  <c r="AU12" i="36"/>
  <c r="AU13" i="36"/>
  <c r="AU14" i="36"/>
  <c r="AU15" i="36"/>
  <c r="AU16" i="36"/>
  <c r="BD19" i="36"/>
  <c r="BE19" i="36" s="1"/>
  <c r="BD23" i="36"/>
  <c r="BE23" i="36" s="1"/>
  <c r="BD27" i="36"/>
  <c r="BE27" i="36" s="1"/>
  <c r="BD21" i="36"/>
  <c r="BE21" i="36" s="1"/>
  <c r="AU28" i="36"/>
  <c r="AU24" i="36"/>
  <c r="AU27" i="36"/>
  <c r="AU26" i="36"/>
  <c r="AU25" i="36"/>
  <c r="AU23" i="36"/>
  <c r="AU22" i="36"/>
  <c r="AU21" i="36"/>
  <c r="AU20" i="36"/>
  <c r="AU19" i="36"/>
  <c r="AU18" i="36"/>
  <c r="BD18" i="36"/>
  <c r="BE18" i="36" s="1"/>
  <c r="BC18" i="36"/>
  <c r="BD22" i="36"/>
  <c r="BE22" i="36" s="1"/>
  <c r="BD26" i="36"/>
  <c r="BE26" i="36" s="1"/>
  <c r="BD9" i="36"/>
  <c r="BE9" i="36" s="1"/>
  <c r="BD10" i="36"/>
  <c r="BE10" i="36" s="1"/>
  <c r="BD11" i="36"/>
  <c r="BE11" i="36" s="1"/>
  <c r="BD12" i="36"/>
  <c r="BE12" i="36" s="1"/>
  <c r="BD13" i="36"/>
  <c r="BE13" i="36" s="1"/>
  <c r="BD14" i="36"/>
  <c r="BE14" i="36" s="1"/>
  <c r="BD15" i="36"/>
  <c r="BE15" i="36" s="1"/>
  <c r="BD16" i="36"/>
  <c r="BE16" i="36" s="1"/>
  <c r="BD17" i="36"/>
  <c r="BE17" i="36" s="1"/>
  <c r="BD20" i="36"/>
  <c r="BE20" i="36" s="1"/>
  <c r="BD24" i="36"/>
  <c r="BE24" i="36" s="1"/>
  <c r="BD28" i="36"/>
  <c r="BE28" i="36" s="1"/>
  <c r="AZ28" i="35"/>
  <c r="BA28" i="35" s="1"/>
  <c r="BC28" i="35" s="1"/>
  <c r="AZ11" i="35"/>
  <c r="BA11" i="35" s="1"/>
  <c r="BC11" i="35" s="1"/>
  <c r="AZ10" i="35"/>
  <c r="BA10" i="35" s="1"/>
  <c r="BC10" i="35" s="1"/>
  <c r="AZ9" i="35"/>
  <c r="BA9" i="35" s="1"/>
  <c r="BC9" i="35" s="1"/>
  <c r="BD14" i="35"/>
  <c r="BE14" i="35" s="1"/>
  <c r="BD11" i="35"/>
  <c r="BE11" i="35" s="1"/>
  <c r="BD15" i="35"/>
  <c r="BE15" i="35" s="1"/>
  <c r="M8" i="35"/>
  <c r="L7" i="35"/>
  <c r="BD10" i="35"/>
  <c r="BE10" i="35" s="1"/>
  <c r="BD12" i="35"/>
  <c r="BE12" i="35" s="1"/>
  <c r="BD16" i="35"/>
  <c r="BE16" i="35" s="1"/>
  <c r="AU28" i="35"/>
  <c r="AU27" i="35"/>
  <c r="AU26" i="35"/>
  <c r="AU25" i="35"/>
  <c r="AU24" i="35"/>
  <c r="AU23" i="35"/>
  <c r="AU22" i="35"/>
  <c r="AU21" i="35"/>
  <c r="AU20" i="35"/>
  <c r="AU19" i="35"/>
  <c r="AU18" i="35"/>
  <c r="AU17" i="35"/>
  <c r="AU16" i="35"/>
  <c r="AU15" i="35"/>
  <c r="AU14" i="35"/>
  <c r="AU13" i="35"/>
  <c r="AU12" i="35"/>
  <c r="AU11" i="35"/>
  <c r="AU10" i="35"/>
  <c r="AU9" i="35"/>
  <c r="BD13" i="35"/>
  <c r="BE13" i="35" s="1"/>
  <c r="BD17" i="35"/>
  <c r="BE17" i="35" s="1"/>
  <c r="AZ12" i="35"/>
  <c r="BA12" i="35" s="1"/>
  <c r="BC12" i="35" s="1"/>
  <c r="AZ13" i="35"/>
  <c r="BA13" i="35" s="1"/>
  <c r="BC13" i="35" s="1"/>
  <c r="AZ14" i="35"/>
  <c r="BA14" i="35" s="1"/>
  <c r="BC14" i="35" s="1"/>
  <c r="AZ15" i="35"/>
  <c r="BA15" i="35" s="1"/>
  <c r="BC15" i="35" s="1"/>
  <c r="AZ16" i="35"/>
  <c r="BA16" i="35" s="1"/>
  <c r="BC16" i="35" s="1"/>
  <c r="AZ17" i="35"/>
  <c r="BA17" i="35" s="1"/>
  <c r="BC17" i="35" s="1"/>
  <c r="AZ18" i="35"/>
  <c r="BA18" i="35" s="1"/>
  <c r="BC18" i="35" s="1"/>
  <c r="BD18" i="35"/>
  <c r="BE18" i="35" s="1"/>
  <c r="AZ19" i="35"/>
  <c r="BA19" i="35" s="1"/>
  <c r="BC19" i="35" s="1"/>
  <c r="BD19" i="35"/>
  <c r="BE19" i="35" s="1"/>
  <c r="AZ20" i="35"/>
  <c r="BA20" i="35" s="1"/>
  <c r="BC20" i="35" s="1"/>
  <c r="BD20" i="35"/>
  <c r="BE20" i="35" s="1"/>
  <c r="AZ21" i="35"/>
  <c r="BA21" i="35" s="1"/>
  <c r="BC21" i="35" s="1"/>
  <c r="BD21" i="35"/>
  <c r="BE21" i="35" s="1"/>
  <c r="AZ22" i="35"/>
  <c r="BA22" i="35" s="1"/>
  <c r="BC22" i="35" s="1"/>
  <c r="BD22" i="35"/>
  <c r="BE22" i="35" s="1"/>
  <c r="AZ23" i="35"/>
  <c r="BA23" i="35" s="1"/>
  <c r="BC23" i="35" s="1"/>
  <c r="BD23" i="35"/>
  <c r="BE23" i="35" s="1"/>
  <c r="AZ24" i="35"/>
  <c r="BA24" i="35" s="1"/>
  <c r="BC24" i="35" s="1"/>
  <c r="BD24" i="35"/>
  <c r="BE24" i="35" s="1"/>
  <c r="AZ25" i="35"/>
  <c r="BA25" i="35" s="1"/>
  <c r="BC25" i="35" s="1"/>
  <c r="BD25" i="35"/>
  <c r="BE25" i="35" s="1"/>
  <c r="AZ26" i="35"/>
  <c r="BA26" i="35" s="1"/>
  <c r="BC26" i="35" s="1"/>
  <c r="BD26" i="35"/>
  <c r="BE26" i="35" s="1"/>
  <c r="AZ27" i="35"/>
  <c r="BA27" i="35" s="1"/>
  <c r="BC27" i="35" s="1"/>
  <c r="BD27" i="35"/>
  <c r="BE27" i="35" s="1"/>
  <c r="BD28" i="35"/>
  <c r="BE28" i="35" s="1"/>
  <c r="AU15" i="34"/>
  <c r="AU9" i="34"/>
  <c r="AU17" i="34"/>
  <c r="AU11" i="34"/>
  <c r="AU19" i="34"/>
  <c r="AZ28" i="34"/>
  <c r="BA28" i="34" s="1"/>
  <c r="BC28" i="34" s="1"/>
  <c r="AZ27" i="34"/>
  <c r="BA27" i="34" s="1"/>
  <c r="BC27" i="34" s="1"/>
  <c r="AZ26" i="34"/>
  <c r="BA26" i="34" s="1"/>
  <c r="BC26" i="34" s="1"/>
  <c r="AZ25" i="34"/>
  <c r="BA25" i="34" s="1"/>
  <c r="BC25" i="34" s="1"/>
  <c r="AZ24" i="34"/>
  <c r="BA24" i="34" s="1"/>
  <c r="BC24" i="34" s="1"/>
  <c r="AZ23" i="34"/>
  <c r="BA23" i="34" s="1"/>
  <c r="BC23" i="34" s="1"/>
  <c r="AZ22" i="34"/>
  <c r="BA22" i="34" s="1"/>
  <c r="BC22" i="34" s="1"/>
  <c r="AZ21" i="34"/>
  <c r="BA21" i="34" s="1"/>
  <c r="BC21" i="34" s="1"/>
  <c r="AZ20" i="34"/>
  <c r="BA20" i="34" s="1"/>
  <c r="BC20" i="34" s="1"/>
  <c r="AZ19" i="34"/>
  <c r="BA19" i="34" s="1"/>
  <c r="BC19" i="34" s="1"/>
  <c r="AZ18" i="34"/>
  <c r="BA18" i="34" s="1"/>
  <c r="BC18" i="34" s="1"/>
  <c r="AZ17" i="34"/>
  <c r="BA17" i="34" s="1"/>
  <c r="BC17" i="34" s="1"/>
  <c r="AZ16" i="34"/>
  <c r="BA16" i="34" s="1"/>
  <c r="BC16" i="34" s="1"/>
  <c r="AZ15" i="34"/>
  <c r="BA15" i="34" s="1"/>
  <c r="BC15" i="34" s="1"/>
  <c r="AZ14" i="34"/>
  <c r="BA14" i="34" s="1"/>
  <c r="BC14" i="34" s="1"/>
  <c r="AZ13" i="34"/>
  <c r="BA13" i="34" s="1"/>
  <c r="BC13" i="34" s="1"/>
  <c r="AZ12" i="34"/>
  <c r="BA12" i="34" s="1"/>
  <c r="BC12" i="34" s="1"/>
  <c r="AZ11" i="34"/>
  <c r="BA11" i="34" s="1"/>
  <c r="BC11" i="34" s="1"/>
  <c r="AZ10" i="34"/>
  <c r="BA10" i="34" s="1"/>
  <c r="BC10" i="34" s="1"/>
  <c r="AZ9" i="34"/>
  <c r="BA9" i="34" s="1"/>
  <c r="BC9" i="34" s="1"/>
  <c r="L8" i="34"/>
  <c r="K7" i="34"/>
  <c r="BD10" i="34"/>
  <c r="BE10" i="34" s="1"/>
  <c r="BD18" i="34"/>
  <c r="BE18" i="34" s="1"/>
  <c r="BD24" i="34"/>
  <c r="BE24" i="34" s="1"/>
  <c r="BD19" i="34"/>
  <c r="BE19" i="34" s="1"/>
  <c r="BD9" i="34"/>
  <c r="BE9" i="34" s="1"/>
  <c r="AU10" i="34"/>
  <c r="BD11" i="34"/>
  <c r="BE11" i="34" s="1"/>
  <c r="AU12" i="34"/>
  <c r="BD13" i="34"/>
  <c r="BE13" i="34" s="1"/>
  <c r="AU14" i="34"/>
  <c r="BD15" i="34"/>
  <c r="BE15" i="34" s="1"/>
  <c r="AU16" i="34"/>
  <c r="BD17" i="34"/>
  <c r="BE17" i="34" s="1"/>
  <c r="BD22" i="34"/>
  <c r="BE22" i="34" s="1"/>
  <c r="BD27" i="34"/>
  <c r="BE27" i="34" s="1"/>
  <c r="BD12" i="34"/>
  <c r="BE12" i="34" s="1"/>
  <c r="BD14" i="34"/>
  <c r="BE14" i="34" s="1"/>
  <c r="BD16" i="34"/>
  <c r="BE16" i="34" s="1"/>
  <c r="BD20" i="34"/>
  <c r="BE20" i="34" s="1"/>
  <c r="BD23" i="34"/>
  <c r="BE23" i="34" s="1"/>
  <c r="BD26" i="34"/>
  <c r="BE26" i="34" s="1"/>
  <c r="AU28" i="34"/>
  <c r="AU27" i="34"/>
  <c r="AU26" i="34"/>
  <c r="AU25" i="34"/>
  <c r="AU24" i="34"/>
  <c r="AU23" i="34"/>
  <c r="AU22" i="34"/>
  <c r="AU21" i="34"/>
  <c r="AU20" i="34"/>
  <c r="BD21" i="34"/>
  <c r="BE21" i="34" s="1"/>
  <c r="BD25" i="34"/>
  <c r="BE25" i="34" s="1"/>
  <c r="BD28" i="34"/>
  <c r="BE28" i="34" s="1"/>
  <c r="AU28" i="33"/>
  <c r="AU27" i="33"/>
  <c r="AU26" i="33"/>
  <c r="AU25" i="33"/>
  <c r="AU24" i="33"/>
  <c r="AU23" i="33"/>
  <c r="AU22" i="33"/>
  <c r="AU21" i="33"/>
  <c r="AU20" i="33"/>
  <c r="BD26" i="33"/>
  <c r="BE26" i="33" s="1"/>
  <c r="L8" i="33"/>
  <c r="K7" i="33"/>
  <c r="AU9" i="33"/>
  <c r="AU10" i="33"/>
  <c r="AU11" i="33"/>
  <c r="AU15" i="33"/>
  <c r="AU17" i="33"/>
  <c r="BD23" i="33"/>
  <c r="BE23" i="33" s="1"/>
  <c r="BD27" i="33"/>
  <c r="BE27" i="33" s="1"/>
  <c r="BD21" i="33"/>
  <c r="BE21" i="33" s="1"/>
  <c r="BD25" i="33"/>
  <c r="BE25" i="33" s="1"/>
  <c r="BD22" i="33"/>
  <c r="BE22" i="33" s="1"/>
  <c r="AZ28" i="33"/>
  <c r="BA28" i="33" s="1"/>
  <c r="AZ27" i="33"/>
  <c r="BA27" i="33" s="1"/>
  <c r="BC27" i="33" s="1"/>
  <c r="AZ26" i="33"/>
  <c r="BA26" i="33" s="1"/>
  <c r="BC26" i="33" s="1"/>
  <c r="AZ25" i="33"/>
  <c r="BA25" i="33" s="1"/>
  <c r="BC25" i="33" s="1"/>
  <c r="AZ24" i="33"/>
  <c r="BA24" i="33" s="1"/>
  <c r="BC24" i="33" s="1"/>
  <c r="AZ23" i="33"/>
  <c r="BA23" i="33" s="1"/>
  <c r="BC23" i="33" s="1"/>
  <c r="AZ22" i="33"/>
  <c r="BA22" i="33" s="1"/>
  <c r="BC22" i="33" s="1"/>
  <c r="AZ21" i="33"/>
  <c r="BA21" i="33" s="1"/>
  <c r="BC21" i="33" s="1"/>
  <c r="AZ20" i="33"/>
  <c r="BA20" i="33" s="1"/>
  <c r="BC20" i="33" s="1"/>
  <c r="AZ19" i="33"/>
  <c r="BA19" i="33" s="1"/>
  <c r="BC19" i="33" s="1"/>
  <c r="AZ18" i="33"/>
  <c r="BA18" i="33" s="1"/>
  <c r="BC18" i="33" s="1"/>
  <c r="AZ17" i="33"/>
  <c r="BA17" i="33" s="1"/>
  <c r="BC17" i="33" s="1"/>
  <c r="AZ16" i="33"/>
  <c r="BA16" i="33" s="1"/>
  <c r="BC16" i="33" s="1"/>
  <c r="AZ15" i="33"/>
  <c r="BA15" i="33" s="1"/>
  <c r="BC15" i="33" s="1"/>
  <c r="AZ14" i="33"/>
  <c r="BA14" i="33" s="1"/>
  <c r="BC14" i="33" s="1"/>
  <c r="AZ13" i="33"/>
  <c r="BA13" i="33" s="1"/>
  <c r="BC13" i="33" s="1"/>
  <c r="AZ12" i="33"/>
  <c r="BA12" i="33" s="1"/>
  <c r="BC12" i="33" s="1"/>
  <c r="AZ11" i="33"/>
  <c r="BA11" i="33" s="1"/>
  <c r="BC11" i="33" s="1"/>
  <c r="AZ10" i="33"/>
  <c r="BA10" i="33" s="1"/>
  <c r="BC10" i="33" s="1"/>
  <c r="AZ9" i="33"/>
  <c r="BA9" i="33" s="1"/>
  <c r="BC9" i="33" s="1"/>
  <c r="AU12" i="33"/>
  <c r="AU13" i="33"/>
  <c r="AU14" i="33"/>
  <c r="AU16" i="33"/>
  <c r="AU18" i="33"/>
  <c r="AU19" i="33"/>
  <c r="BD19" i="33"/>
  <c r="BE19" i="33" s="1"/>
  <c r="BD9" i="33"/>
  <c r="BE9" i="33" s="1"/>
  <c r="BD10" i="33"/>
  <c r="BE10" i="33" s="1"/>
  <c r="BD11" i="33"/>
  <c r="BE11" i="33" s="1"/>
  <c r="BD12" i="33"/>
  <c r="BE12" i="33" s="1"/>
  <c r="BD13" i="33"/>
  <c r="BE13" i="33" s="1"/>
  <c r="BD14" i="33"/>
  <c r="BE14" i="33" s="1"/>
  <c r="BD15" i="33"/>
  <c r="BE15" i="33" s="1"/>
  <c r="BD16" i="33"/>
  <c r="BE16" i="33" s="1"/>
  <c r="BD17" i="33"/>
  <c r="BE17" i="33" s="1"/>
  <c r="BD18" i="33"/>
  <c r="BE18" i="33" s="1"/>
  <c r="BD20" i="33"/>
  <c r="BE20" i="33" s="1"/>
  <c r="BD24" i="33"/>
  <c r="BE24" i="33" s="1"/>
  <c r="BD28" i="33"/>
  <c r="BE28" i="33" s="1"/>
  <c r="BC28" i="33"/>
  <c r="M8" i="32"/>
  <c r="L7" i="32"/>
  <c r="K7" i="32"/>
  <c r="AU28" i="32"/>
  <c r="AU27" i="32"/>
  <c r="AU26" i="32"/>
  <c r="AU25" i="32"/>
  <c r="AU24" i="32"/>
  <c r="AU23" i="32"/>
  <c r="AU22" i="32"/>
  <c r="AU21" i="32"/>
  <c r="AU20" i="32"/>
  <c r="AU19" i="32"/>
  <c r="AU18" i="32"/>
  <c r="AU17" i="32"/>
  <c r="AU16" i="32"/>
  <c r="AU15" i="32"/>
  <c r="AU14" i="32"/>
  <c r="AU13" i="32"/>
  <c r="AU12" i="32"/>
  <c r="AU11" i="32"/>
  <c r="AU10" i="32"/>
  <c r="AU9" i="32"/>
  <c r="BC28" i="32"/>
  <c r="AZ9" i="32"/>
  <c r="BA9" i="32" s="1"/>
  <c r="BC9" i="32" s="1"/>
  <c r="BD9" i="32"/>
  <c r="BE9" i="32" s="1"/>
  <c r="AZ10" i="32"/>
  <c r="BA10" i="32" s="1"/>
  <c r="BC10" i="32" s="1"/>
  <c r="BD10" i="32"/>
  <c r="BE10" i="32" s="1"/>
  <c r="AZ11" i="32"/>
  <c r="BA11" i="32" s="1"/>
  <c r="BC11" i="32" s="1"/>
  <c r="BD11" i="32"/>
  <c r="BE11" i="32" s="1"/>
  <c r="AZ12" i="32"/>
  <c r="BA12" i="32" s="1"/>
  <c r="BC12" i="32" s="1"/>
  <c r="BD12" i="32"/>
  <c r="BE12" i="32" s="1"/>
  <c r="AZ13" i="32"/>
  <c r="BA13" i="32" s="1"/>
  <c r="BC13" i="32" s="1"/>
  <c r="BD13" i="32"/>
  <c r="BE13" i="32" s="1"/>
  <c r="AZ14" i="32"/>
  <c r="BA14" i="32" s="1"/>
  <c r="BC14" i="32" s="1"/>
  <c r="BD14" i="32"/>
  <c r="BE14" i="32" s="1"/>
  <c r="AZ15" i="32"/>
  <c r="BA15" i="32" s="1"/>
  <c r="BC15" i="32" s="1"/>
  <c r="BD15" i="32"/>
  <c r="BE15" i="32" s="1"/>
  <c r="AZ16" i="32"/>
  <c r="BA16" i="32" s="1"/>
  <c r="BC16" i="32" s="1"/>
  <c r="BD16" i="32"/>
  <c r="BE16" i="32" s="1"/>
  <c r="AZ17" i="32"/>
  <c r="BA17" i="32" s="1"/>
  <c r="BC17" i="32" s="1"/>
  <c r="BD17" i="32"/>
  <c r="BE17" i="32" s="1"/>
  <c r="AZ18" i="32"/>
  <c r="BA18" i="32" s="1"/>
  <c r="BC18" i="32" s="1"/>
  <c r="BD18" i="32"/>
  <c r="BE18" i="32" s="1"/>
  <c r="AZ19" i="32"/>
  <c r="BA19" i="32" s="1"/>
  <c r="BC19" i="32" s="1"/>
  <c r="BD19" i="32"/>
  <c r="BE19" i="32" s="1"/>
  <c r="AZ20" i="32"/>
  <c r="BA20" i="32" s="1"/>
  <c r="BC20" i="32" s="1"/>
  <c r="BD20" i="32"/>
  <c r="BE20" i="32" s="1"/>
  <c r="AZ21" i="32"/>
  <c r="BA21" i="32" s="1"/>
  <c r="BC21" i="32" s="1"/>
  <c r="BD21" i="32"/>
  <c r="BE21" i="32" s="1"/>
  <c r="AZ22" i="32"/>
  <c r="BA22" i="32" s="1"/>
  <c r="BC22" i="32" s="1"/>
  <c r="BD22" i="32"/>
  <c r="BE22" i="32" s="1"/>
  <c r="AZ23" i="32"/>
  <c r="BA23" i="32" s="1"/>
  <c r="BC23" i="32" s="1"/>
  <c r="BD23" i="32"/>
  <c r="BE23" i="32" s="1"/>
  <c r="AZ24" i="32"/>
  <c r="BA24" i="32" s="1"/>
  <c r="BC24" i="32" s="1"/>
  <c r="BD24" i="32"/>
  <c r="BE24" i="32" s="1"/>
  <c r="AZ25" i="32"/>
  <c r="BA25" i="32" s="1"/>
  <c r="BC25" i="32" s="1"/>
  <c r="BD25" i="32"/>
  <c r="BE25" i="32" s="1"/>
  <c r="AZ26" i="32"/>
  <c r="BA26" i="32" s="1"/>
  <c r="BC26" i="32" s="1"/>
  <c r="BD26" i="32"/>
  <c r="BE26" i="32" s="1"/>
  <c r="AZ27" i="32"/>
  <c r="BA27" i="32" s="1"/>
  <c r="BC27" i="32" s="1"/>
  <c r="BD27" i="32"/>
  <c r="BE27" i="32" s="1"/>
  <c r="BD28" i="32"/>
  <c r="BE28" i="32" s="1"/>
  <c r="BD10" i="31"/>
  <c r="BE10" i="31" s="1"/>
  <c r="BD11" i="31"/>
  <c r="BE11" i="31" s="1"/>
  <c r="BD12" i="31"/>
  <c r="BE12" i="31" s="1"/>
  <c r="BD13" i="31"/>
  <c r="BE13" i="31" s="1"/>
  <c r="BD14" i="31"/>
  <c r="BE14" i="31" s="1"/>
  <c r="BD21" i="31"/>
  <c r="BE21" i="31" s="1"/>
  <c r="BD25" i="31"/>
  <c r="BE25" i="31" s="1"/>
  <c r="BD18" i="31"/>
  <c r="BE18" i="31" s="1"/>
  <c r="BD22" i="31"/>
  <c r="BE22" i="31" s="1"/>
  <c r="BD26" i="31"/>
  <c r="BE26" i="31" s="1"/>
  <c r="AU25" i="31"/>
  <c r="AU22" i="31"/>
  <c r="AU18" i="31"/>
  <c r="AU16" i="31"/>
  <c r="AU28" i="31"/>
  <c r="AU27" i="31"/>
  <c r="AU26" i="31"/>
  <c r="AU24" i="31"/>
  <c r="AU23" i="31"/>
  <c r="AU21" i="31"/>
  <c r="AU20" i="31"/>
  <c r="AU19" i="31"/>
  <c r="AU17" i="31"/>
  <c r="AU15" i="31"/>
  <c r="BD15" i="31"/>
  <c r="BE15" i="31" s="1"/>
  <c r="BD19" i="31"/>
  <c r="BE19" i="31" s="1"/>
  <c r="BD23" i="31"/>
  <c r="BE23" i="31" s="1"/>
  <c r="BD27" i="31"/>
  <c r="BE27" i="31" s="1"/>
  <c r="BD9" i="31"/>
  <c r="BE9" i="31" s="1"/>
  <c r="BD17" i="31"/>
  <c r="BE17" i="31" s="1"/>
  <c r="AZ28" i="31"/>
  <c r="BA28" i="31" s="1"/>
  <c r="BC28" i="31" s="1"/>
  <c r="AZ27" i="31"/>
  <c r="BA27" i="31" s="1"/>
  <c r="BC27" i="31" s="1"/>
  <c r="AZ26" i="31"/>
  <c r="BA26" i="31" s="1"/>
  <c r="BC26" i="31" s="1"/>
  <c r="AZ25" i="31"/>
  <c r="BA25" i="31" s="1"/>
  <c r="BC25" i="31" s="1"/>
  <c r="AZ24" i="31"/>
  <c r="BA24" i="31" s="1"/>
  <c r="BC24" i="31" s="1"/>
  <c r="AZ23" i="31"/>
  <c r="BA23" i="31" s="1"/>
  <c r="BC23" i="31" s="1"/>
  <c r="AZ22" i="31"/>
  <c r="BA22" i="31" s="1"/>
  <c r="BC22" i="31" s="1"/>
  <c r="AZ21" i="31"/>
  <c r="BA21" i="31" s="1"/>
  <c r="BC21" i="31" s="1"/>
  <c r="AZ20" i="31"/>
  <c r="BA20" i="31" s="1"/>
  <c r="BC20" i="31" s="1"/>
  <c r="AZ19" i="31"/>
  <c r="BA19" i="31" s="1"/>
  <c r="BC19" i="31" s="1"/>
  <c r="AZ18" i="31"/>
  <c r="BA18" i="31" s="1"/>
  <c r="BC18" i="31" s="1"/>
  <c r="AZ17" i="31"/>
  <c r="BA17" i="31" s="1"/>
  <c r="BC17" i="31" s="1"/>
  <c r="AZ16" i="31"/>
  <c r="BA16" i="31" s="1"/>
  <c r="BC16" i="31" s="1"/>
  <c r="AZ15" i="31"/>
  <c r="BA15" i="31" s="1"/>
  <c r="BC15" i="31" s="1"/>
  <c r="AZ14" i="31"/>
  <c r="BA14" i="31" s="1"/>
  <c r="BC14" i="31" s="1"/>
  <c r="AZ13" i="31"/>
  <c r="BA13" i="31" s="1"/>
  <c r="BC13" i="31" s="1"/>
  <c r="AZ12" i="31"/>
  <c r="BA12" i="31" s="1"/>
  <c r="BC12" i="31" s="1"/>
  <c r="AZ11" i="31"/>
  <c r="BA11" i="31" s="1"/>
  <c r="BC11" i="31" s="1"/>
  <c r="AZ10" i="31"/>
  <c r="BA10" i="31" s="1"/>
  <c r="BC10" i="31" s="1"/>
  <c r="AZ9" i="31"/>
  <c r="BA9" i="31" s="1"/>
  <c r="BC9" i="31" s="1"/>
  <c r="L8" i="31"/>
  <c r="K7" i="31"/>
  <c r="AU9" i="31"/>
  <c r="AU10" i="31"/>
  <c r="AU11" i="31"/>
  <c r="AU12" i="31"/>
  <c r="AU13" i="31"/>
  <c r="AU14" i="31"/>
  <c r="BD16" i="31"/>
  <c r="BE16" i="31" s="1"/>
  <c r="BD20" i="31"/>
  <c r="BE20" i="31" s="1"/>
  <c r="BD24" i="31"/>
  <c r="BE24" i="31" s="1"/>
  <c r="BD28" i="31"/>
  <c r="BE28" i="31" s="1"/>
  <c r="M8" i="30"/>
  <c r="L7" i="30"/>
  <c r="K7" i="30"/>
  <c r="BD11" i="30"/>
  <c r="BE11" i="30" s="1"/>
  <c r="BD15" i="30"/>
  <c r="BE15" i="30" s="1"/>
  <c r="AZ28" i="30"/>
  <c r="BA28" i="30" s="1"/>
  <c r="BC28" i="30" s="1"/>
  <c r="AZ27" i="30"/>
  <c r="BA27" i="30" s="1"/>
  <c r="BC27" i="30" s="1"/>
  <c r="AZ26" i="30"/>
  <c r="BA26" i="30" s="1"/>
  <c r="BC26" i="30" s="1"/>
  <c r="AZ25" i="30"/>
  <c r="BA25" i="30" s="1"/>
  <c r="BC25" i="30" s="1"/>
  <c r="AZ24" i="30"/>
  <c r="BA24" i="30" s="1"/>
  <c r="BC24" i="30" s="1"/>
  <c r="AZ23" i="30"/>
  <c r="BA23" i="30" s="1"/>
  <c r="BC23" i="30" s="1"/>
  <c r="AZ22" i="30"/>
  <c r="BA22" i="30" s="1"/>
  <c r="BC22" i="30" s="1"/>
  <c r="AZ21" i="30"/>
  <c r="BA21" i="30" s="1"/>
  <c r="BC21" i="30" s="1"/>
  <c r="AZ20" i="30"/>
  <c r="BA20" i="30" s="1"/>
  <c r="BC20" i="30" s="1"/>
  <c r="AZ19" i="30"/>
  <c r="BA19" i="30" s="1"/>
  <c r="BC19" i="30" s="1"/>
  <c r="AZ18" i="30"/>
  <c r="BA18" i="30" s="1"/>
  <c r="BC18" i="30" s="1"/>
  <c r="AZ17" i="30"/>
  <c r="BA17" i="30" s="1"/>
  <c r="BC17" i="30" s="1"/>
  <c r="AZ16" i="30"/>
  <c r="BA16" i="30" s="1"/>
  <c r="BC16" i="30" s="1"/>
  <c r="AZ15" i="30"/>
  <c r="BA15" i="30" s="1"/>
  <c r="BC15" i="30" s="1"/>
  <c r="AZ14" i="30"/>
  <c r="BA14" i="30" s="1"/>
  <c r="BC14" i="30" s="1"/>
  <c r="AZ13" i="30"/>
  <c r="BA13" i="30" s="1"/>
  <c r="BC13" i="30" s="1"/>
  <c r="AZ12" i="30"/>
  <c r="BA12" i="30" s="1"/>
  <c r="BC12" i="30" s="1"/>
  <c r="AZ11" i="30"/>
  <c r="BA11" i="30" s="1"/>
  <c r="BC11" i="30" s="1"/>
  <c r="AZ10" i="30"/>
  <c r="BA10" i="30" s="1"/>
  <c r="BC10" i="30" s="1"/>
  <c r="AZ9" i="30"/>
  <c r="BA9" i="30" s="1"/>
  <c r="BC9" i="30" s="1"/>
  <c r="AU28" i="30"/>
  <c r="AU27" i="30"/>
  <c r="AU26" i="30"/>
  <c r="AU25" i="30"/>
  <c r="AU24" i="30"/>
  <c r="AU23" i="30"/>
  <c r="AU22" i="30"/>
  <c r="AU21" i="30"/>
  <c r="AU20" i="30"/>
  <c r="AU19" i="30"/>
  <c r="AU18" i="30"/>
  <c r="AU17" i="30"/>
  <c r="AU16" i="30"/>
  <c r="AU15" i="30"/>
  <c r="AU14" i="30"/>
  <c r="AU13" i="30"/>
  <c r="AU12" i="30"/>
  <c r="AU11" i="30"/>
  <c r="AU10" i="30"/>
  <c r="AU9" i="30"/>
  <c r="BD12" i="30"/>
  <c r="BE12" i="30" s="1"/>
  <c r="BD16" i="30"/>
  <c r="BE16" i="30" s="1"/>
  <c r="BD10" i="30"/>
  <c r="BE10" i="30" s="1"/>
  <c r="BD14" i="30"/>
  <c r="BE14" i="30" s="1"/>
  <c r="BD9" i="30"/>
  <c r="BE9" i="30" s="1"/>
  <c r="BD13" i="30"/>
  <c r="BE13" i="30" s="1"/>
  <c r="BD17" i="30"/>
  <c r="BE17" i="30" s="1"/>
  <c r="BD18" i="30"/>
  <c r="BE18" i="30" s="1"/>
  <c r="BD19" i="30"/>
  <c r="BE19" i="30" s="1"/>
  <c r="BD20" i="30"/>
  <c r="BE20" i="30" s="1"/>
  <c r="BD21" i="30"/>
  <c r="BE21" i="30" s="1"/>
  <c r="BD22" i="30"/>
  <c r="BE22" i="30" s="1"/>
  <c r="BD23" i="30"/>
  <c r="BE23" i="30" s="1"/>
  <c r="BD24" i="30"/>
  <c r="BE24" i="30" s="1"/>
  <c r="BD25" i="30"/>
  <c r="BE25" i="30" s="1"/>
  <c r="BD26" i="30"/>
  <c r="BE26" i="30" s="1"/>
  <c r="BD27" i="30"/>
  <c r="BE27" i="30" s="1"/>
  <c r="BD28" i="30"/>
  <c r="BE28" i="30" s="1"/>
  <c r="L8" i="29"/>
  <c r="AZ12" i="29"/>
  <c r="BA12" i="29" s="1"/>
  <c r="BC12" i="29" s="1"/>
  <c r="AZ10" i="29"/>
  <c r="BA10" i="29" s="1"/>
  <c r="BC10" i="29" s="1"/>
  <c r="AZ14" i="29"/>
  <c r="BA14" i="29" s="1"/>
  <c r="BC14" i="29" s="1"/>
  <c r="M8" i="29"/>
  <c r="L7" i="29"/>
  <c r="AU15" i="29"/>
  <c r="AU20" i="29"/>
  <c r="AU25" i="29"/>
  <c r="AU28" i="29"/>
  <c r="AZ9" i="29"/>
  <c r="BA9" i="29" s="1"/>
  <c r="BC9" i="29" s="1"/>
  <c r="AZ28" i="29"/>
  <c r="BA28" i="29" s="1"/>
  <c r="BC28" i="29" s="1"/>
  <c r="AZ27" i="29"/>
  <c r="BA27" i="29" s="1"/>
  <c r="BC27" i="29" s="1"/>
  <c r="AZ26" i="29"/>
  <c r="BA26" i="29" s="1"/>
  <c r="BC26" i="29" s="1"/>
  <c r="AZ25" i="29"/>
  <c r="BA25" i="29" s="1"/>
  <c r="BC25" i="29" s="1"/>
  <c r="AZ24" i="29"/>
  <c r="BA24" i="29" s="1"/>
  <c r="BC24" i="29" s="1"/>
  <c r="AZ23" i="29"/>
  <c r="BA23" i="29" s="1"/>
  <c r="BC23" i="29" s="1"/>
  <c r="AZ22" i="29"/>
  <c r="BA22" i="29" s="1"/>
  <c r="BC22" i="29" s="1"/>
  <c r="AZ21" i="29"/>
  <c r="BA21" i="29" s="1"/>
  <c r="BC21" i="29" s="1"/>
  <c r="AZ20" i="29"/>
  <c r="BA20" i="29" s="1"/>
  <c r="BC20" i="29" s="1"/>
  <c r="AZ19" i="29"/>
  <c r="BA19" i="29" s="1"/>
  <c r="BC19" i="29" s="1"/>
  <c r="AZ18" i="29"/>
  <c r="BA18" i="29" s="1"/>
  <c r="BC18" i="29" s="1"/>
  <c r="AZ17" i="29"/>
  <c r="BA17" i="29" s="1"/>
  <c r="BC17" i="29" s="1"/>
  <c r="AZ16" i="29"/>
  <c r="BA16" i="29" s="1"/>
  <c r="BC16" i="29" s="1"/>
  <c r="AZ15" i="29"/>
  <c r="BA15" i="29" s="1"/>
  <c r="BC15" i="29" s="1"/>
  <c r="AU9" i="29"/>
  <c r="AU11" i="29"/>
  <c r="AU13" i="29"/>
  <c r="AU16" i="29"/>
  <c r="AU17" i="29"/>
  <c r="AU18" i="29"/>
  <c r="AU19" i="29"/>
  <c r="AU21" i="29"/>
  <c r="AU22" i="29"/>
  <c r="AU23" i="29"/>
  <c r="AU24" i="29"/>
  <c r="AU26" i="29"/>
  <c r="AU27" i="29"/>
  <c r="K7" i="29"/>
  <c r="AZ11" i="29"/>
  <c r="BA11" i="29" s="1"/>
  <c r="BC11" i="29" s="1"/>
  <c r="BD15" i="29"/>
  <c r="BE15" i="29" s="1"/>
  <c r="BD16" i="29"/>
  <c r="BE16" i="29" s="1"/>
  <c r="BD17" i="29"/>
  <c r="BE17" i="29" s="1"/>
  <c r="BD18" i="29"/>
  <c r="BE18" i="29" s="1"/>
  <c r="BD19" i="29"/>
  <c r="BE19" i="29" s="1"/>
  <c r="BD20" i="29"/>
  <c r="BE20" i="29" s="1"/>
  <c r="BD21" i="29"/>
  <c r="BE21" i="29" s="1"/>
  <c r="BD22" i="29"/>
  <c r="BE22" i="29" s="1"/>
  <c r="BD23" i="29"/>
  <c r="BE23" i="29" s="1"/>
  <c r="BD24" i="29"/>
  <c r="BE24" i="29" s="1"/>
  <c r="BD25" i="29"/>
  <c r="BE25" i="29" s="1"/>
  <c r="BD26" i="29"/>
  <c r="BE26" i="29" s="1"/>
  <c r="BD27" i="29"/>
  <c r="BE27" i="29" s="1"/>
  <c r="BD28" i="29"/>
  <c r="BE28" i="29" s="1"/>
  <c r="AU10" i="29"/>
  <c r="BD10" i="29"/>
  <c r="BE10" i="29" s="1"/>
  <c r="AU12" i="29"/>
  <c r="BD12" i="29"/>
  <c r="BE12" i="29" s="1"/>
  <c r="BD14" i="29"/>
  <c r="BE14" i="29" s="1"/>
  <c r="L8" i="28"/>
  <c r="L7" i="28" s="1"/>
  <c r="M8" i="28"/>
  <c r="AU28" i="28"/>
  <c r="AU27" i="28"/>
  <c r="AU26" i="28"/>
  <c r="AU25" i="28"/>
  <c r="AU24" i="28"/>
  <c r="AU23" i="28"/>
  <c r="AU22" i="28"/>
  <c r="AU21" i="28"/>
  <c r="AU20" i="28"/>
  <c r="AU19" i="28"/>
  <c r="AU18" i="28"/>
  <c r="AU17" i="28"/>
  <c r="AU16" i="28"/>
  <c r="AU15" i="28"/>
  <c r="AU14" i="28"/>
  <c r="AU13" i="28"/>
  <c r="AU12" i="28"/>
  <c r="AU11" i="28"/>
  <c r="AU10" i="28"/>
  <c r="AU9" i="28"/>
  <c r="AZ28" i="28"/>
  <c r="AZ27" i="28"/>
  <c r="AZ26" i="28"/>
  <c r="AZ25" i="28"/>
  <c r="AZ24" i="28"/>
  <c r="AZ23" i="28"/>
  <c r="AZ22" i="28"/>
  <c r="AZ21" i="28"/>
  <c r="AZ20" i="28"/>
  <c r="AZ19" i="28"/>
  <c r="AZ18" i="28"/>
  <c r="AZ17" i="28"/>
  <c r="AZ16" i="28"/>
  <c r="AZ15" i="28"/>
  <c r="AZ14" i="28"/>
  <c r="AZ13" i="28"/>
  <c r="AZ11" i="28"/>
  <c r="AZ12" i="28"/>
  <c r="K7" i="28"/>
  <c r="AZ9" i="28"/>
  <c r="AZ10" i="28"/>
  <c r="M8" i="27"/>
  <c r="L7" i="27"/>
  <c r="K7" i="27"/>
  <c r="AU28" i="27"/>
  <c r="AU27" i="27"/>
  <c r="AU26" i="27"/>
  <c r="AU25" i="27"/>
  <c r="AU24" i="27"/>
  <c r="AU23" i="27"/>
  <c r="AU22" i="27"/>
  <c r="AU21" i="27"/>
  <c r="AU20" i="27"/>
  <c r="AU19" i="27"/>
  <c r="AU18" i="27"/>
  <c r="AU17" i="27"/>
  <c r="AU16" i="27"/>
  <c r="AU15" i="27"/>
  <c r="AU14" i="27"/>
  <c r="AU13" i="27"/>
  <c r="AU12" i="27"/>
  <c r="AU11" i="27"/>
  <c r="AU10" i="27"/>
  <c r="AU9" i="27"/>
  <c r="BD11" i="27"/>
  <c r="BE11" i="27" s="1"/>
  <c r="BD15" i="27"/>
  <c r="BE15" i="27" s="1"/>
  <c r="BD12" i="27"/>
  <c r="BE12" i="27" s="1"/>
  <c r="BD16" i="27"/>
  <c r="BE16" i="27" s="1"/>
  <c r="AZ28" i="27"/>
  <c r="BA28" i="27" s="1"/>
  <c r="BC28" i="27" s="1"/>
  <c r="AZ27" i="27"/>
  <c r="BA27" i="27" s="1"/>
  <c r="BC27" i="27" s="1"/>
  <c r="AZ26" i="27"/>
  <c r="BA26" i="27" s="1"/>
  <c r="BC26" i="27" s="1"/>
  <c r="AZ25" i="27"/>
  <c r="BA25" i="27" s="1"/>
  <c r="BC25" i="27" s="1"/>
  <c r="AZ24" i="27"/>
  <c r="BA24" i="27" s="1"/>
  <c r="BC24" i="27" s="1"/>
  <c r="AZ23" i="27"/>
  <c r="BA23" i="27" s="1"/>
  <c r="BC23" i="27" s="1"/>
  <c r="AZ22" i="27"/>
  <c r="BA22" i="27" s="1"/>
  <c r="BC22" i="27" s="1"/>
  <c r="AZ21" i="27"/>
  <c r="BA21" i="27" s="1"/>
  <c r="BC21" i="27" s="1"/>
  <c r="AZ20" i="27"/>
  <c r="BA20" i="27" s="1"/>
  <c r="BC20" i="27" s="1"/>
  <c r="AZ19" i="27"/>
  <c r="BA19" i="27" s="1"/>
  <c r="AZ18" i="27"/>
  <c r="BA18" i="27" s="1"/>
  <c r="BC18" i="27" s="1"/>
  <c r="AZ17" i="27"/>
  <c r="BA17" i="27" s="1"/>
  <c r="BC17" i="27" s="1"/>
  <c r="AZ16" i="27"/>
  <c r="BA16" i="27" s="1"/>
  <c r="BC16" i="27" s="1"/>
  <c r="AZ15" i="27"/>
  <c r="BA15" i="27" s="1"/>
  <c r="BC15" i="27" s="1"/>
  <c r="AZ14" i="27"/>
  <c r="BA14" i="27" s="1"/>
  <c r="BC14" i="27" s="1"/>
  <c r="AZ13" i="27"/>
  <c r="BA13" i="27" s="1"/>
  <c r="BC13" i="27" s="1"/>
  <c r="AZ12" i="27"/>
  <c r="BA12" i="27" s="1"/>
  <c r="BC12" i="27" s="1"/>
  <c r="AZ11" i="27"/>
  <c r="BA11" i="27" s="1"/>
  <c r="BC11" i="27" s="1"/>
  <c r="AZ10" i="27"/>
  <c r="BA10" i="27" s="1"/>
  <c r="BC10" i="27" s="1"/>
  <c r="AZ9" i="27"/>
  <c r="BA9" i="27" s="1"/>
  <c r="BC9" i="27" s="1"/>
  <c r="BD10" i="27"/>
  <c r="BE10" i="27" s="1"/>
  <c r="BD14" i="27"/>
  <c r="BE14" i="27" s="1"/>
  <c r="BD9" i="27"/>
  <c r="BE9" i="27" s="1"/>
  <c r="BD13" i="27"/>
  <c r="BE13" i="27" s="1"/>
  <c r="BD17" i="27"/>
  <c r="BE17" i="27" s="1"/>
  <c r="BC19" i="27"/>
  <c r="BD18" i="27"/>
  <c r="BE18" i="27" s="1"/>
  <c r="BD19" i="27"/>
  <c r="BE19" i="27" s="1"/>
  <c r="BD20" i="27"/>
  <c r="BE20" i="27" s="1"/>
  <c r="BD21" i="27"/>
  <c r="BE21" i="27" s="1"/>
  <c r="BD22" i="27"/>
  <c r="BE22" i="27" s="1"/>
  <c r="BD23" i="27"/>
  <c r="BE23" i="27" s="1"/>
  <c r="BD24" i="27"/>
  <c r="BE24" i="27" s="1"/>
  <c r="BD25" i="27"/>
  <c r="BE25" i="27" s="1"/>
  <c r="BD26" i="27"/>
  <c r="BE26" i="27" s="1"/>
  <c r="BD27" i="27"/>
  <c r="BE27" i="27" s="1"/>
  <c r="BD28" i="27"/>
  <c r="BE28" i="27" s="1"/>
  <c r="AZ24" i="26"/>
  <c r="AZ22" i="26"/>
  <c r="AZ20" i="26"/>
  <c r="AZ18" i="26"/>
  <c r="AZ16" i="26"/>
  <c r="AZ14" i="26"/>
  <c r="AZ12" i="26"/>
  <c r="AZ10" i="26"/>
  <c r="AZ23" i="26"/>
  <c r="AZ19" i="26"/>
  <c r="AZ17" i="26"/>
  <c r="AZ13" i="26"/>
  <c r="AZ9" i="26"/>
  <c r="AZ21" i="26"/>
  <c r="AZ15" i="26"/>
  <c r="AZ11" i="26"/>
  <c r="K7" i="26"/>
  <c r="N8" i="26"/>
  <c r="M7" i="26"/>
  <c r="AZ28" i="26"/>
  <c r="AZ27" i="26"/>
  <c r="AZ26" i="26"/>
  <c r="AZ25" i="26"/>
  <c r="L7" i="26"/>
  <c r="AU28" i="26"/>
  <c r="AU27" i="26"/>
  <c r="AU26" i="26"/>
  <c r="AU25" i="26"/>
  <c r="AU24" i="26"/>
  <c r="AU23" i="26"/>
  <c r="AU22" i="26"/>
  <c r="AU21" i="26"/>
  <c r="AU20" i="26"/>
  <c r="AU19" i="26"/>
  <c r="AU18" i="26"/>
  <c r="AU17" i="26"/>
  <c r="AU16" i="26"/>
  <c r="AU15" i="26"/>
  <c r="AU14" i="26"/>
  <c r="AU13" i="26"/>
  <c r="AU12" i="26"/>
  <c r="AU11" i="26"/>
  <c r="AU10" i="26"/>
  <c r="AU9" i="26"/>
  <c r="L7" i="2"/>
  <c r="M8" i="2"/>
  <c r="AU13" i="2"/>
  <c r="AU12" i="2"/>
  <c r="AU11" i="2"/>
  <c r="AU10" i="2"/>
  <c r="M8" i="36" l="1"/>
  <c r="L7" i="36"/>
  <c r="N8" i="35"/>
  <c r="M7" i="35"/>
  <c r="M8" i="34"/>
  <c r="L7" i="34"/>
  <c r="M8" i="33"/>
  <c r="L7" i="33"/>
  <c r="N8" i="32"/>
  <c r="M7" i="32"/>
  <c r="M8" i="31"/>
  <c r="L7" i="31"/>
  <c r="N8" i="30"/>
  <c r="M7" i="30"/>
  <c r="N8" i="29"/>
  <c r="M7" i="29"/>
  <c r="N8" i="28"/>
  <c r="M7" i="28"/>
  <c r="N8" i="27"/>
  <c r="M7" i="27"/>
  <c r="O8" i="26"/>
  <c r="N7" i="26"/>
  <c r="M7" i="2"/>
  <c r="N8" i="2"/>
  <c r="N8" i="36" l="1"/>
  <c r="M7" i="36"/>
  <c r="O8" i="35"/>
  <c r="N7" i="35"/>
  <c r="N8" i="34"/>
  <c r="M7" i="34"/>
  <c r="N8" i="33"/>
  <c r="M7" i="33"/>
  <c r="N7" i="32"/>
  <c r="O8" i="32"/>
  <c r="N8" i="31"/>
  <c r="M7" i="31"/>
  <c r="N7" i="30"/>
  <c r="O8" i="30"/>
  <c r="O8" i="29"/>
  <c r="N7" i="29"/>
  <c r="O8" i="28"/>
  <c r="N7" i="28"/>
  <c r="O8" i="27"/>
  <c r="N7" i="27"/>
  <c r="P8" i="26"/>
  <c r="O7" i="26"/>
  <c r="N7" i="2"/>
  <c r="O8" i="2"/>
  <c r="O8" i="36" l="1"/>
  <c r="N7" i="36"/>
  <c r="O7" i="35"/>
  <c r="P8" i="35"/>
  <c r="O8" i="34"/>
  <c r="N7" i="34"/>
  <c r="O8" i="33"/>
  <c r="N7" i="33"/>
  <c r="P8" i="32"/>
  <c r="O7" i="32"/>
  <c r="O8" i="31"/>
  <c r="N7" i="31"/>
  <c r="P8" i="30"/>
  <c r="O7" i="30"/>
  <c r="P8" i="29"/>
  <c r="O7" i="29"/>
  <c r="P8" i="28"/>
  <c r="O7" i="28"/>
  <c r="P8" i="27"/>
  <c r="O7" i="27"/>
  <c r="Q8" i="26"/>
  <c r="P7" i="26"/>
  <c r="P8" i="2"/>
  <c r="O7" i="2"/>
  <c r="P8" i="36" l="1"/>
  <c r="O7" i="36"/>
  <c r="Q8" i="35"/>
  <c r="P7" i="35"/>
  <c r="P8" i="34"/>
  <c r="O7" i="34"/>
  <c r="P8" i="33"/>
  <c r="O7" i="33"/>
  <c r="Q8" i="32"/>
  <c r="P7" i="32"/>
  <c r="P8" i="31"/>
  <c r="O7" i="31"/>
  <c r="Q8" i="30"/>
  <c r="P7" i="30"/>
  <c r="Q8" i="29"/>
  <c r="P7" i="29"/>
  <c r="Q8" i="28"/>
  <c r="P7" i="28"/>
  <c r="Q8" i="27"/>
  <c r="P7" i="27"/>
  <c r="R8" i="26"/>
  <c r="Q7" i="26"/>
  <c r="P7" i="2"/>
  <c r="Q8" i="2"/>
  <c r="Q8" i="36" l="1"/>
  <c r="P7" i="36"/>
  <c r="Q7" i="35"/>
  <c r="R8" i="35"/>
  <c r="Q8" i="34"/>
  <c r="P7" i="34"/>
  <c r="Q8" i="33"/>
  <c r="P7" i="33"/>
  <c r="R8" i="32"/>
  <c r="Q7" i="32"/>
  <c r="Q8" i="31"/>
  <c r="P7" i="31"/>
  <c r="Q7" i="30"/>
  <c r="R8" i="30"/>
  <c r="R8" i="29"/>
  <c r="Q7" i="29"/>
  <c r="R8" i="28"/>
  <c r="Q7" i="28"/>
  <c r="Q7" i="27"/>
  <c r="R8" i="27"/>
  <c r="S8" i="26"/>
  <c r="R7" i="26"/>
  <c r="Q7" i="2"/>
  <c r="R8" i="2"/>
  <c r="R8" i="36" l="1"/>
  <c r="Q7" i="36"/>
  <c r="S8" i="35"/>
  <c r="R7" i="35"/>
  <c r="Q7" i="34"/>
  <c r="R8" i="34"/>
  <c r="R8" i="33"/>
  <c r="Q7" i="33"/>
  <c r="S8" i="32"/>
  <c r="R7" i="32"/>
  <c r="R8" i="31"/>
  <c r="Q7" i="31"/>
  <c r="S8" i="30"/>
  <c r="R7" i="30"/>
  <c r="S8" i="29"/>
  <c r="R7" i="29"/>
  <c r="S8" i="28"/>
  <c r="R7" i="28"/>
  <c r="S8" i="27"/>
  <c r="R7" i="27"/>
  <c r="S7" i="26"/>
  <c r="T8" i="26"/>
  <c r="R7" i="2"/>
  <c r="S8" i="2"/>
  <c r="S8" i="36" l="1"/>
  <c r="R7" i="36"/>
  <c r="T8" i="35"/>
  <c r="S7" i="35"/>
  <c r="S8" i="34"/>
  <c r="R7" i="34"/>
  <c r="S8" i="33"/>
  <c r="R7" i="33"/>
  <c r="T8" i="32"/>
  <c r="S7" i="32"/>
  <c r="S8" i="31"/>
  <c r="R7" i="31"/>
  <c r="T8" i="30"/>
  <c r="S7" i="30"/>
  <c r="S7" i="29"/>
  <c r="T8" i="29"/>
  <c r="T8" i="28"/>
  <c r="S7" i="28"/>
  <c r="T8" i="27"/>
  <c r="S7" i="27"/>
  <c r="U8" i="26"/>
  <c r="T7" i="26"/>
  <c r="S7" i="2"/>
  <c r="T8" i="2"/>
  <c r="T8" i="36" l="1"/>
  <c r="S7" i="36"/>
  <c r="U8" i="35"/>
  <c r="T7" i="35"/>
  <c r="T8" i="34"/>
  <c r="S7" i="34"/>
  <c r="T8" i="33"/>
  <c r="S7" i="33"/>
  <c r="U8" i="32"/>
  <c r="T7" i="32"/>
  <c r="T8" i="31"/>
  <c r="S7" i="31"/>
  <c r="U8" i="30"/>
  <c r="T7" i="30"/>
  <c r="U8" i="29"/>
  <c r="T7" i="29"/>
  <c r="T7" i="28"/>
  <c r="U8" i="28"/>
  <c r="U8" i="27"/>
  <c r="T7" i="27"/>
  <c r="V8" i="26"/>
  <c r="U7" i="26"/>
  <c r="T7" i="2"/>
  <c r="U8" i="2"/>
  <c r="U8" i="36" l="1"/>
  <c r="T7" i="36"/>
  <c r="V8" i="35"/>
  <c r="U7" i="35"/>
  <c r="U8" i="34"/>
  <c r="T7" i="34"/>
  <c r="U8" i="33"/>
  <c r="T7" i="33"/>
  <c r="V8" i="32"/>
  <c r="U7" i="32"/>
  <c r="U8" i="31"/>
  <c r="T7" i="31"/>
  <c r="U7" i="30"/>
  <c r="V8" i="30"/>
  <c r="U7" i="29"/>
  <c r="V8" i="29"/>
  <c r="V8" i="28"/>
  <c r="U7" i="28"/>
  <c r="U7" i="27"/>
  <c r="V8" i="27"/>
  <c r="W8" i="26"/>
  <c r="V7" i="26"/>
  <c r="U7" i="2"/>
  <c r="V8" i="2"/>
  <c r="V8" i="36" l="1"/>
  <c r="U7" i="36"/>
  <c r="W8" i="35"/>
  <c r="V7" i="35"/>
  <c r="U7" i="34"/>
  <c r="V8" i="34"/>
  <c r="V8" i="33"/>
  <c r="U7" i="33"/>
  <c r="W8" i="32"/>
  <c r="V7" i="32"/>
  <c r="V8" i="31"/>
  <c r="U7" i="31"/>
  <c r="W8" i="30"/>
  <c r="V7" i="30"/>
  <c r="W8" i="29"/>
  <c r="V7" i="29"/>
  <c r="W8" i="28"/>
  <c r="V7" i="28"/>
  <c r="W8" i="27"/>
  <c r="V7" i="27"/>
  <c r="X8" i="26"/>
  <c r="W7" i="26"/>
  <c r="V7" i="2"/>
  <c r="W8" i="2"/>
  <c r="W8" i="36" l="1"/>
  <c r="V7" i="36"/>
  <c r="W7" i="35"/>
  <c r="X8" i="35"/>
  <c r="W8" i="34"/>
  <c r="V7" i="34"/>
  <c r="W8" i="33"/>
  <c r="V7" i="33"/>
  <c r="X8" i="32"/>
  <c r="W7" i="32"/>
  <c r="W8" i="31"/>
  <c r="V7" i="31"/>
  <c r="X8" i="30"/>
  <c r="W7" i="30"/>
  <c r="X8" i="29"/>
  <c r="W7" i="29"/>
  <c r="W7" i="28"/>
  <c r="X8" i="28"/>
  <c r="X8" i="27"/>
  <c r="W7" i="27"/>
  <c r="Y8" i="26"/>
  <c r="X7" i="26"/>
  <c r="W7" i="2"/>
  <c r="X8" i="2"/>
  <c r="X8" i="36" l="1"/>
  <c r="W7" i="36"/>
  <c r="Y8" i="35"/>
  <c r="X7" i="35"/>
  <c r="X8" i="34"/>
  <c r="W7" i="34"/>
  <c r="X8" i="33"/>
  <c r="W7" i="33"/>
  <c r="Y8" i="32"/>
  <c r="X7" i="32"/>
  <c r="X8" i="31"/>
  <c r="W7" i="31"/>
  <c r="Y8" i="30"/>
  <c r="X7" i="30"/>
  <c r="Y8" i="29"/>
  <c r="X7" i="29"/>
  <c r="Y8" i="28"/>
  <c r="X7" i="28"/>
  <c r="Y8" i="27"/>
  <c r="X7" i="27"/>
  <c r="Y7" i="26"/>
  <c r="Z8" i="26"/>
  <c r="X7" i="2"/>
  <c r="Y8" i="2"/>
  <c r="Y8" i="36" l="1"/>
  <c r="X7" i="36"/>
  <c r="Y7" i="35"/>
  <c r="Z8" i="35"/>
  <c r="Y8" i="34"/>
  <c r="X7" i="34"/>
  <c r="Y8" i="33"/>
  <c r="X7" i="33"/>
  <c r="Z8" i="32"/>
  <c r="Y7" i="32"/>
  <c r="Y8" i="31"/>
  <c r="X7" i="31"/>
  <c r="Z8" i="30"/>
  <c r="Y7" i="30"/>
  <c r="Z8" i="29"/>
  <c r="Y7" i="29"/>
  <c r="Y7" i="28"/>
  <c r="Z8" i="28"/>
  <c r="Z8" i="27"/>
  <c r="Y7" i="27"/>
  <c r="AA8" i="26"/>
  <c r="Z7" i="26"/>
  <c r="Y7" i="2"/>
  <c r="Z8" i="2"/>
  <c r="Z8" i="36" l="1"/>
  <c r="Y7" i="36"/>
  <c r="AA8" i="35"/>
  <c r="Z7" i="35"/>
  <c r="Z8" i="34"/>
  <c r="Y7" i="34"/>
  <c r="Z8" i="33"/>
  <c r="Y7" i="33"/>
  <c r="AA8" i="32"/>
  <c r="Z7" i="32"/>
  <c r="Z8" i="31"/>
  <c r="Y7" i="31"/>
  <c r="AA8" i="30"/>
  <c r="Z7" i="30"/>
  <c r="AA8" i="29"/>
  <c r="Z7" i="29"/>
  <c r="AA8" i="28"/>
  <c r="Z7" i="28"/>
  <c r="AA8" i="27"/>
  <c r="Z7" i="27"/>
  <c r="AB8" i="26"/>
  <c r="AA7" i="26"/>
  <c r="Z7" i="2"/>
  <c r="AA8" i="2"/>
  <c r="AA8" i="36" l="1"/>
  <c r="Z7" i="36"/>
  <c r="AB8" i="35"/>
  <c r="AA7" i="35"/>
  <c r="AA8" i="34"/>
  <c r="Z7" i="34"/>
  <c r="Z7" i="33"/>
  <c r="AA8" i="33"/>
  <c r="AB8" i="32"/>
  <c r="AA7" i="32"/>
  <c r="AA8" i="31"/>
  <c r="Z7" i="31"/>
  <c r="AB8" i="30"/>
  <c r="AA7" i="30"/>
  <c r="AB8" i="29"/>
  <c r="AA7" i="29"/>
  <c r="AA7" i="28"/>
  <c r="AB8" i="28"/>
  <c r="AB8" i="27"/>
  <c r="AA7" i="27"/>
  <c r="AC8" i="26"/>
  <c r="AB7" i="26"/>
  <c r="AA7" i="2"/>
  <c r="AB8" i="2"/>
  <c r="AB8" i="36" l="1"/>
  <c r="AA7" i="36"/>
  <c r="AC8" i="35"/>
  <c r="AB7" i="35"/>
  <c r="AB8" i="34"/>
  <c r="AA7" i="34"/>
  <c r="AB8" i="33"/>
  <c r="AA7" i="33"/>
  <c r="AC8" i="32"/>
  <c r="AB7" i="32"/>
  <c r="AB8" i="31"/>
  <c r="AA7" i="31"/>
  <c r="AC8" i="30"/>
  <c r="AB7" i="30"/>
  <c r="AC8" i="29"/>
  <c r="AB7" i="29"/>
  <c r="AC8" i="28"/>
  <c r="AB7" i="28"/>
  <c r="AC8" i="27"/>
  <c r="AB7" i="27"/>
  <c r="AC7" i="26"/>
  <c r="AD8" i="26"/>
  <c r="AB7" i="2"/>
  <c r="AC8" i="2"/>
  <c r="AC8" i="36" l="1"/>
  <c r="AB7" i="36"/>
  <c r="AD8" i="35"/>
  <c r="AC7" i="35"/>
  <c r="AC8" i="34"/>
  <c r="AB7" i="34"/>
  <c r="AC8" i="33"/>
  <c r="AB7" i="33"/>
  <c r="AD8" i="32"/>
  <c r="AC7" i="32"/>
  <c r="AC8" i="31"/>
  <c r="AB7" i="31"/>
  <c r="AD8" i="30"/>
  <c r="AC7" i="30"/>
  <c r="AD8" i="29"/>
  <c r="AC7" i="29"/>
  <c r="AD8" i="28"/>
  <c r="AC7" i="28"/>
  <c r="AD8" i="27"/>
  <c r="AC7" i="27"/>
  <c r="AE8" i="26"/>
  <c r="AD7" i="26"/>
  <c r="AC7" i="2"/>
  <c r="AD8" i="2"/>
  <c r="AD8" i="36" l="1"/>
  <c r="AC7" i="36"/>
  <c r="AE8" i="35"/>
  <c r="AD7" i="35"/>
  <c r="AD8" i="34"/>
  <c r="AC7" i="34"/>
  <c r="AD8" i="33"/>
  <c r="AC7" i="33"/>
  <c r="AE8" i="32"/>
  <c r="AD7" i="32"/>
  <c r="AD8" i="31"/>
  <c r="AC7" i="31"/>
  <c r="AE8" i="30"/>
  <c r="AD7" i="30"/>
  <c r="AD7" i="29"/>
  <c r="AE8" i="29"/>
  <c r="AE8" i="28"/>
  <c r="AD7" i="28"/>
  <c r="AE8" i="27"/>
  <c r="AD7" i="27"/>
  <c r="AE7" i="26"/>
  <c r="AF8" i="26"/>
  <c r="AD7" i="2"/>
  <c r="AE8" i="2"/>
  <c r="AD7" i="36" l="1"/>
  <c r="AE8" i="36"/>
  <c r="AE7" i="35"/>
  <c r="AF8" i="35"/>
  <c r="AE8" i="34"/>
  <c r="AD7" i="34"/>
  <c r="AE8" i="33"/>
  <c r="AD7" i="33"/>
  <c r="AF8" i="32"/>
  <c r="AE7" i="32"/>
  <c r="AE8" i="31"/>
  <c r="AD7" i="31"/>
  <c r="AF8" i="30"/>
  <c r="AE7" i="30"/>
  <c r="AF8" i="29"/>
  <c r="AE7" i="29"/>
  <c r="AE7" i="28"/>
  <c r="AF8" i="28"/>
  <c r="AF8" i="27"/>
  <c r="AE7" i="27"/>
  <c r="AG8" i="26"/>
  <c r="AF7" i="26"/>
  <c r="AF8" i="2"/>
  <c r="AE7" i="2"/>
  <c r="AF8" i="36" l="1"/>
  <c r="AE7" i="36"/>
  <c r="AG8" i="35"/>
  <c r="AF7" i="35"/>
  <c r="AF8" i="34"/>
  <c r="AE7" i="34"/>
  <c r="AF8" i="33"/>
  <c r="AE7" i="33"/>
  <c r="AG8" i="32"/>
  <c r="AF7" i="32"/>
  <c r="AF8" i="31"/>
  <c r="AE7" i="31"/>
  <c r="AG8" i="30"/>
  <c r="AF7" i="30"/>
  <c r="AG8" i="29"/>
  <c r="AF7" i="29"/>
  <c r="AG8" i="28"/>
  <c r="AF7" i="28"/>
  <c r="AG8" i="27"/>
  <c r="AF7" i="27"/>
  <c r="AH8" i="26"/>
  <c r="AG7" i="26"/>
  <c r="AF7" i="2"/>
  <c r="AG8" i="2"/>
  <c r="AG8" i="36" l="1"/>
  <c r="AF7" i="36"/>
  <c r="AG7" i="35"/>
  <c r="AH8" i="35"/>
  <c r="AF7" i="34"/>
  <c r="AG8" i="34"/>
  <c r="AG8" i="33"/>
  <c r="AF7" i="33"/>
  <c r="AH8" i="32"/>
  <c r="AG7" i="32"/>
  <c r="AG8" i="31"/>
  <c r="AF7" i="31"/>
  <c r="AG7" i="30"/>
  <c r="AH8" i="30"/>
  <c r="AH8" i="29"/>
  <c r="AG7" i="29"/>
  <c r="AH8" i="28"/>
  <c r="AG7" i="28"/>
  <c r="AG7" i="27"/>
  <c r="AH8" i="27"/>
  <c r="AI8" i="26"/>
  <c r="AH7" i="26"/>
  <c r="AG7" i="2"/>
  <c r="AH8" i="2"/>
  <c r="AH8" i="36" l="1"/>
  <c r="AG7" i="36"/>
  <c r="AI8" i="35"/>
  <c r="AH7" i="35"/>
  <c r="AH8" i="34"/>
  <c r="AG7" i="34"/>
  <c r="AG7" i="33"/>
  <c r="AH8" i="33"/>
  <c r="AI8" i="32"/>
  <c r="AH7" i="32"/>
  <c r="AH8" i="31"/>
  <c r="AG7" i="31"/>
  <c r="AI8" i="30"/>
  <c r="AH7" i="30"/>
  <c r="AI8" i="29"/>
  <c r="AH7" i="29"/>
  <c r="AI8" i="28"/>
  <c r="AH7" i="28"/>
  <c r="AI8" i="27"/>
  <c r="AH7" i="27"/>
  <c r="AI7" i="26"/>
  <c r="AJ8" i="26"/>
  <c r="AH7" i="2"/>
  <c r="AI8" i="2"/>
  <c r="AI8" i="36" l="1"/>
  <c r="AH7" i="36"/>
  <c r="AJ8" i="35"/>
  <c r="AI7" i="35"/>
  <c r="AI8" i="34"/>
  <c r="AH7" i="34"/>
  <c r="AI8" i="33"/>
  <c r="AH7" i="33"/>
  <c r="AJ8" i="32"/>
  <c r="AI7" i="32"/>
  <c r="AI8" i="31"/>
  <c r="AH7" i="31"/>
  <c r="AJ8" i="30"/>
  <c r="AI7" i="30"/>
  <c r="AJ8" i="29"/>
  <c r="AI7" i="29"/>
  <c r="AJ8" i="28"/>
  <c r="AI7" i="28"/>
  <c r="AJ8" i="27"/>
  <c r="AI7" i="27"/>
  <c r="AK8" i="26"/>
  <c r="AJ7" i="26"/>
  <c r="AI7" i="2"/>
  <c r="AJ8" i="2"/>
  <c r="AJ8" i="36" l="1"/>
  <c r="AI7" i="36"/>
  <c r="AK8" i="35"/>
  <c r="AJ7" i="35"/>
  <c r="AJ8" i="34"/>
  <c r="AI7" i="34"/>
  <c r="AJ8" i="33"/>
  <c r="AI7" i="33"/>
  <c r="AK8" i="32"/>
  <c r="AJ7" i="32"/>
  <c r="AJ8" i="31"/>
  <c r="AI7" i="31"/>
  <c r="AK8" i="30"/>
  <c r="AJ7" i="30"/>
  <c r="AK8" i="29"/>
  <c r="AJ7" i="29"/>
  <c r="AJ7" i="28"/>
  <c r="AK8" i="28"/>
  <c r="AK8" i="27"/>
  <c r="AJ7" i="27"/>
  <c r="AL8" i="26"/>
  <c r="AK7" i="26"/>
  <c r="AJ7" i="2"/>
  <c r="AK8" i="2"/>
  <c r="AK8" i="36" l="1"/>
  <c r="AJ7" i="36"/>
  <c r="AL8" i="35"/>
  <c r="AK7" i="35"/>
  <c r="AK8" i="34"/>
  <c r="AJ7" i="34"/>
  <c r="AK8" i="33"/>
  <c r="AJ7" i="33"/>
  <c r="AL8" i="32"/>
  <c r="AK7" i="32"/>
  <c r="AK8" i="31"/>
  <c r="AJ7" i="31"/>
  <c r="AK7" i="30"/>
  <c r="AL8" i="30"/>
  <c r="AK7" i="29"/>
  <c r="AL8" i="29"/>
  <c r="AL8" i="28"/>
  <c r="AK7" i="28"/>
  <c r="AK7" i="27"/>
  <c r="AL8" i="27"/>
  <c r="AM8" i="26"/>
  <c r="AL7" i="26"/>
  <c r="AK7" i="2"/>
  <c r="AL8" i="2"/>
  <c r="AL8" i="36" l="1"/>
  <c r="AK7" i="36"/>
  <c r="AM8" i="35"/>
  <c r="AL7" i="35"/>
  <c r="AK7" i="34"/>
  <c r="AL8" i="34"/>
  <c r="AL8" i="33"/>
  <c r="AK7" i="33"/>
  <c r="AM8" i="32"/>
  <c r="AL7" i="32"/>
  <c r="AL8" i="31"/>
  <c r="AK7" i="31"/>
  <c r="AM8" i="30"/>
  <c r="AL7" i="30"/>
  <c r="AM8" i="29"/>
  <c r="AL7" i="29"/>
  <c r="AM8" i="28"/>
  <c r="AL7" i="28"/>
  <c r="AM8" i="27"/>
  <c r="AL7" i="27"/>
  <c r="BA24" i="26"/>
  <c r="BC24" i="26" s="1"/>
  <c r="BD24" i="26" s="1"/>
  <c r="BE24" i="26" s="1"/>
  <c r="BA21" i="26"/>
  <c r="BC21" i="26" s="1"/>
  <c r="BD21" i="26" s="1"/>
  <c r="BE21" i="26" s="1"/>
  <c r="BA10" i="26"/>
  <c r="BC10" i="26" s="1"/>
  <c r="BD10" i="26" s="1"/>
  <c r="BE10" i="26" s="1"/>
  <c r="BA26" i="26"/>
  <c r="BC26" i="26" s="1"/>
  <c r="BD26" i="26" s="1"/>
  <c r="BE26" i="26" s="1"/>
  <c r="BA15" i="26"/>
  <c r="BC15" i="26" s="1"/>
  <c r="BD15" i="26" s="1"/>
  <c r="BE15" i="26" s="1"/>
  <c r="BA14" i="26"/>
  <c r="BC14" i="26" s="1"/>
  <c r="BD14" i="26" s="1"/>
  <c r="BE14" i="26" s="1"/>
  <c r="BA19" i="26"/>
  <c r="BC19" i="26" s="1"/>
  <c r="BD19" i="26" s="1"/>
  <c r="BE19" i="26" s="1"/>
  <c r="BA28" i="26"/>
  <c r="BC28" i="26" s="1"/>
  <c r="BD28" i="26" s="1"/>
  <c r="BE28" i="26" s="1"/>
  <c r="BA9" i="26"/>
  <c r="BC9" i="26" s="1"/>
  <c r="BA25" i="26"/>
  <c r="BC25" i="26" s="1"/>
  <c r="BD25" i="26" s="1"/>
  <c r="BE25" i="26" s="1"/>
  <c r="BA18" i="26"/>
  <c r="BC18" i="26" s="1"/>
  <c r="BD18" i="26" s="1"/>
  <c r="BE18" i="26" s="1"/>
  <c r="BA12" i="26"/>
  <c r="BC12" i="26" s="1"/>
  <c r="BD12" i="26" s="1"/>
  <c r="BE12" i="26" s="1"/>
  <c r="BA23" i="26"/>
  <c r="BC23" i="26" s="1"/>
  <c r="BD23" i="26" s="1"/>
  <c r="BE23" i="26" s="1"/>
  <c r="BA16" i="26"/>
  <c r="BC16" i="26" s="1"/>
  <c r="BD16" i="26" s="1"/>
  <c r="BE16" i="26" s="1"/>
  <c r="BA13" i="26"/>
  <c r="BC13" i="26" s="1"/>
  <c r="BD13" i="26" s="1"/>
  <c r="BE13" i="26" s="1"/>
  <c r="BA22" i="26"/>
  <c r="BC22" i="26" s="1"/>
  <c r="BD22" i="26" s="1"/>
  <c r="BE22" i="26" s="1"/>
  <c r="AN8" i="26"/>
  <c r="AM7" i="26"/>
  <c r="BA20" i="26"/>
  <c r="BC20" i="26" s="1"/>
  <c r="BD20" i="26" s="1"/>
  <c r="BE20" i="26" s="1"/>
  <c r="BA17" i="26"/>
  <c r="BC17" i="26" s="1"/>
  <c r="BD17" i="26" s="1"/>
  <c r="BE17" i="26" s="1"/>
  <c r="BA11" i="26"/>
  <c r="BC11" i="26" s="1"/>
  <c r="BD11" i="26" s="1"/>
  <c r="BE11" i="26" s="1"/>
  <c r="BA27" i="26"/>
  <c r="BC27" i="26" s="1"/>
  <c r="BD27" i="26" s="1"/>
  <c r="BE27" i="26" s="1"/>
  <c r="AL7" i="2"/>
  <c r="AM8" i="2"/>
  <c r="BD9" i="26" l="1"/>
  <c r="BE9" i="26" s="1"/>
  <c r="AM8" i="36"/>
  <c r="AL7" i="36"/>
  <c r="AM7" i="35"/>
  <c r="AN8" i="35"/>
  <c r="AM8" i="34"/>
  <c r="AL7" i="34"/>
  <c r="AM8" i="33"/>
  <c r="AL7" i="33"/>
  <c r="AN8" i="32"/>
  <c r="AM7" i="32"/>
  <c r="AM8" i="31"/>
  <c r="AL7" i="31"/>
  <c r="AN8" i="30"/>
  <c r="AM7" i="30"/>
  <c r="AN8" i="29"/>
  <c r="AM7" i="29"/>
  <c r="BD13" i="28"/>
  <c r="BE13" i="28" s="1"/>
  <c r="BA13" i="28"/>
  <c r="BC13" i="28" s="1"/>
  <c r="BD19" i="28"/>
  <c r="BE19" i="28" s="1"/>
  <c r="BA19" i="28"/>
  <c r="BC19" i="28" s="1"/>
  <c r="BD9" i="28"/>
  <c r="BE9" i="28" s="1"/>
  <c r="BA9" i="28"/>
  <c r="BC9" i="28" s="1"/>
  <c r="BD26" i="28"/>
  <c r="BE26" i="28" s="1"/>
  <c r="BA26" i="28"/>
  <c r="BC26" i="28" s="1"/>
  <c r="BD27" i="28"/>
  <c r="BE27" i="28" s="1"/>
  <c r="BA27" i="28"/>
  <c r="BC27" i="28" s="1"/>
  <c r="BD23" i="28"/>
  <c r="BE23" i="28" s="1"/>
  <c r="BA23" i="28"/>
  <c r="BC23" i="28" s="1"/>
  <c r="BD20" i="28"/>
  <c r="BE20" i="28" s="1"/>
  <c r="BA20" i="28"/>
  <c r="BC20" i="28" s="1"/>
  <c r="BD16" i="28"/>
  <c r="BE16" i="28" s="1"/>
  <c r="BA16" i="28"/>
  <c r="BC16" i="28" s="1"/>
  <c r="BD21" i="28"/>
  <c r="BE21" i="28" s="1"/>
  <c r="BA21" i="28"/>
  <c r="BC21" i="28" s="1"/>
  <c r="BD11" i="28"/>
  <c r="BE11" i="28" s="1"/>
  <c r="BA11" i="28"/>
  <c r="BC11" i="28" s="1"/>
  <c r="BD12" i="28"/>
  <c r="BE12" i="28" s="1"/>
  <c r="BA12" i="28"/>
  <c r="BC12" i="28" s="1"/>
  <c r="BD18" i="28"/>
  <c r="BE18" i="28" s="1"/>
  <c r="BA18" i="28"/>
  <c r="BC18" i="28" s="1"/>
  <c r="BD28" i="28"/>
  <c r="BE28" i="28" s="1"/>
  <c r="BA28" i="28"/>
  <c r="BC28" i="28" s="1"/>
  <c r="AM7" i="28"/>
  <c r="AN8" i="28"/>
  <c r="BD10" i="28"/>
  <c r="BE10" i="28" s="1"/>
  <c r="BA10" i="28"/>
  <c r="BC10" i="28" s="1"/>
  <c r="BD25" i="28"/>
  <c r="BE25" i="28" s="1"/>
  <c r="BA25" i="28"/>
  <c r="BC25" i="28" s="1"/>
  <c r="BD22" i="28"/>
  <c r="BE22" i="28" s="1"/>
  <c r="BA22" i="28"/>
  <c r="BC22" i="28" s="1"/>
  <c r="BD14" i="28"/>
  <c r="BE14" i="28" s="1"/>
  <c r="BA14" i="28"/>
  <c r="BC14" i="28" s="1"/>
  <c r="BD24" i="28"/>
  <c r="BE24" i="28" s="1"/>
  <c r="BA24" i="28"/>
  <c r="BC24" i="28" s="1"/>
  <c r="BD17" i="28"/>
  <c r="BE17" i="28" s="1"/>
  <c r="BA17" i="28"/>
  <c r="BC17" i="28" s="1"/>
  <c r="BD15" i="28"/>
  <c r="BE15" i="28" s="1"/>
  <c r="BA15" i="28"/>
  <c r="BC15" i="28" s="1"/>
  <c r="AN8" i="27"/>
  <c r="AM7" i="27"/>
  <c r="AO8" i="26"/>
  <c r="AO7" i="26" s="1"/>
  <c r="AN7" i="26"/>
  <c r="AM7" i="2"/>
  <c r="AN8" i="2"/>
  <c r="BA28" i="2"/>
  <c r="BC28" i="2" s="1"/>
  <c r="BD28" i="2" s="1"/>
  <c r="BE28" i="2" s="1"/>
  <c r="BA23" i="2"/>
  <c r="BC23" i="2" s="1"/>
  <c r="BD23" i="2" s="1"/>
  <c r="BE23" i="2" s="1"/>
  <c r="BA26" i="2"/>
  <c r="BC26" i="2" s="1"/>
  <c r="BD26" i="2" s="1"/>
  <c r="BE26" i="2" s="1"/>
  <c r="BA21" i="2"/>
  <c r="BC21" i="2" s="1"/>
  <c r="BD21" i="2" s="1"/>
  <c r="BE21" i="2" s="1"/>
  <c r="BA19" i="2"/>
  <c r="BC19" i="2" s="1"/>
  <c r="BD19" i="2" s="1"/>
  <c r="BE19" i="2" s="1"/>
  <c r="BA22" i="2"/>
  <c r="BC22" i="2" s="1"/>
  <c r="BD22" i="2" s="1"/>
  <c r="BE22" i="2" s="1"/>
  <c r="BA17" i="2"/>
  <c r="BC17" i="2" s="1"/>
  <c r="BD17" i="2" s="1"/>
  <c r="BE17" i="2" s="1"/>
  <c r="BA27" i="2"/>
  <c r="BC27" i="2" s="1"/>
  <c r="BD27" i="2" s="1"/>
  <c r="BE27" i="2" s="1"/>
  <c r="BA24" i="2"/>
  <c r="BC24" i="2" s="1"/>
  <c r="BD24" i="2" s="1"/>
  <c r="BE24" i="2" s="1"/>
  <c r="BA15" i="2"/>
  <c r="BC15" i="2" s="1"/>
  <c r="BD15" i="2" s="1"/>
  <c r="BE15" i="2" s="1"/>
  <c r="BA18" i="2"/>
  <c r="BC18" i="2" s="1"/>
  <c r="BD18" i="2" s="1"/>
  <c r="BE18" i="2" s="1"/>
  <c r="BA13" i="2"/>
  <c r="BC13" i="2" s="1"/>
  <c r="BD13" i="2" s="1"/>
  <c r="BE13" i="2" s="1"/>
  <c r="BA20" i="2"/>
  <c r="BC20" i="2" s="1"/>
  <c r="BD20" i="2" s="1"/>
  <c r="BE20" i="2" s="1"/>
  <c r="BA11" i="2"/>
  <c r="BC11" i="2" s="1"/>
  <c r="BD11" i="2" s="1"/>
  <c r="BE11" i="2" s="1"/>
  <c r="BA14" i="2"/>
  <c r="BC14" i="2" s="1"/>
  <c r="BD14" i="2" s="1"/>
  <c r="BE14" i="2" s="1"/>
  <c r="BA9" i="2"/>
  <c r="BC9" i="2" s="1"/>
  <c r="BD9" i="2" s="1"/>
  <c r="BE9" i="2" s="1"/>
  <c r="BA16" i="2"/>
  <c r="BC16" i="2" s="1"/>
  <c r="BD16" i="2" s="1"/>
  <c r="BE16" i="2" s="1"/>
  <c r="BA10" i="2"/>
  <c r="BC10" i="2" s="1"/>
  <c r="BD10" i="2" s="1"/>
  <c r="BE10" i="2" s="1"/>
  <c r="BA25" i="2"/>
  <c r="BC25" i="2" s="1"/>
  <c r="BD25" i="2" s="1"/>
  <c r="BE25" i="2" s="1"/>
  <c r="BA12" i="2"/>
  <c r="BC12" i="2" s="1"/>
  <c r="BD12" i="2" s="1"/>
  <c r="BE12" i="2" s="1"/>
  <c r="AN8" i="36" l="1"/>
  <c r="AM7" i="36"/>
  <c r="AO8" i="35"/>
  <c r="AO7" i="35" s="1"/>
  <c r="AN7" i="35"/>
  <c r="AN8" i="34"/>
  <c r="AM7" i="34"/>
  <c r="AN8" i="33"/>
  <c r="AM7" i="33"/>
  <c r="AO8" i="32"/>
  <c r="AO7" i="32" s="1"/>
  <c r="AN7" i="32"/>
  <c r="J9" i="32" s="1"/>
  <c r="AN8" i="31"/>
  <c r="AM7" i="31"/>
  <c r="AO8" i="30"/>
  <c r="AO7" i="30" s="1"/>
  <c r="AN7" i="30"/>
  <c r="AO8" i="29"/>
  <c r="AO7" i="29" s="1"/>
  <c r="AN7" i="29"/>
  <c r="AO8" i="28"/>
  <c r="AO7" i="28" s="1"/>
  <c r="AN7" i="28"/>
  <c r="AO8" i="27"/>
  <c r="AO7" i="27" s="1"/>
  <c r="AN7" i="27"/>
  <c r="J25" i="26"/>
  <c r="J17" i="26"/>
  <c r="J21" i="26"/>
  <c r="J19" i="26"/>
  <c r="J11" i="26"/>
  <c r="J23" i="26"/>
  <c r="J27" i="26"/>
  <c r="J15" i="26"/>
  <c r="J13" i="26"/>
  <c r="J9" i="26"/>
  <c r="J10" i="26"/>
  <c r="J24" i="26"/>
  <c r="J12" i="26"/>
  <c r="J20" i="26"/>
  <c r="J14" i="26"/>
  <c r="J28" i="26"/>
  <c r="J26" i="26"/>
  <c r="J16" i="26"/>
  <c r="J18" i="26"/>
  <c r="J22" i="26"/>
  <c r="AN7" i="2"/>
  <c r="AO8" i="2"/>
  <c r="AO7" i="2" s="1"/>
  <c r="AO8" i="36" l="1"/>
  <c r="AO7" i="36" s="1"/>
  <c r="AN7" i="36"/>
  <c r="J28" i="35"/>
  <c r="J12" i="35"/>
  <c r="J13" i="35"/>
  <c r="J15" i="35"/>
  <c r="J27" i="35"/>
  <c r="J21" i="35"/>
  <c r="J20" i="35"/>
  <c r="J9" i="35"/>
  <c r="J17" i="35"/>
  <c r="J25" i="35"/>
  <c r="J22" i="35"/>
  <c r="J24" i="35"/>
  <c r="J23" i="35"/>
  <c r="J19" i="35"/>
  <c r="J16" i="35"/>
  <c r="J14" i="35"/>
  <c r="J18" i="35"/>
  <c r="J11" i="35"/>
  <c r="J10" i="35"/>
  <c r="J26" i="35"/>
  <c r="AO8" i="34"/>
  <c r="AO7" i="34" s="1"/>
  <c r="AN7" i="34"/>
  <c r="AO8" i="33"/>
  <c r="AO7" i="33" s="1"/>
  <c r="AN7" i="33"/>
  <c r="AY28" i="32"/>
  <c r="AY24" i="32"/>
  <c r="AY20" i="32"/>
  <c r="AY16" i="32"/>
  <c r="AY12" i="32"/>
  <c r="AY26" i="32"/>
  <c r="AY22" i="32"/>
  <c r="AY18" i="32"/>
  <c r="AY14" i="32"/>
  <c r="AY10" i="32"/>
  <c r="AY25" i="32"/>
  <c r="AY21" i="32"/>
  <c r="AY13" i="32"/>
  <c r="AY27" i="32"/>
  <c r="AY23" i="32"/>
  <c r="AY19" i="32"/>
  <c r="AY15" i="32"/>
  <c r="AY11" i="32"/>
  <c r="AY17" i="32"/>
  <c r="AY9" i="32"/>
  <c r="J28" i="32"/>
  <c r="J10" i="32"/>
  <c r="J13" i="32"/>
  <c r="J19" i="32"/>
  <c r="J26" i="32"/>
  <c r="J18" i="32"/>
  <c r="J23" i="32"/>
  <c r="J25" i="32"/>
  <c r="J15" i="32"/>
  <c r="J21" i="32"/>
  <c r="J22" i="32"/>
  <c r="J20" i="32"/>
  <c r="J11" i="32"/>
  <c r="J12" i="32"/>
  <c r="J14" i="32"/>
  <c r="J24" i="32"/>
  <c r="J27" i="32"/>
  <c r="J16" i="32"/>
  <c r="J17" i="32"/>
  <c r="AO8" i="31"/>
  <c r="AO7" i="31" s="1"/>
  <c r="AN7" i="31"/>
  <c r="J17" i="30"/>
  <c r="J12" i="30"/>
  <c r="J19" i="30"/>
  <c r="J23" i="30"/>
  <c r="J14" i="30"/>
  <c r="J16" i="30"/>
  <c r="J15" i="30"/>
  <c r="J9" i="30"/>
  <c r="J28" i="30"/>
  <c r="J22" i="30"/>
  <c r="J13" i="30"/>
  <c r="J26" i="30"/>
  <c r="J27" i="30"/>
  <c r="J25" i="30"/>
  <c r="J20" i="30"/>
  <c r="J10" i="30"/>
  <c r="J18" i="30"/>
  <c r="J11" i="30"/>
  <c r="J21" i="30"/>
  <c r="J24" i="30"/>
  <c r="J14" i="29"/>
  <c r="J10" i="29"/>
  <c r="J26" i="29"/>
  <c r="J22" i="29"/>
  <c r="J9" i="29"/>
  <c r="J17" i="29"/>
  <c r="J11" i="29"/>
  <c r="J13" i="29"/>
  <c r="J19" i="29"/>
  <c r="J18" i="29"/>
  <c r="J24" i="29"/>
  <c r="J12" i="29"/>
  <c r="J20" i="29"/>
  <c r="J23" i="29"/>
  <c r="J16" i="29"/>
  <c r="J21" i="29"/>
  <c r="J27" i="29"/>
  <c r="J25" i="29"/>
  <c r="J28" i="29"/>
  <c r="J15" i="29"/>
  <c r="J13" i="28"/>
  <c r="J21" i="28"/>
  <c r="J15" i="28"/>
  <c r="J26" i="28"/>
  <c r="J17" i="28"/>
  <c r="J18" i="28"/>
  <c r="J27" i="28"/>
  <c r="J28" i="28"/>
  <c r="J20" i="28"/>
  <c r="J14" i="28"/>
  <c r="J9" i="28"/>
  <c r="J25" i="28"/>
  <c r="J24" i="28"/>
  <c r="J10" i="28"/>
  <c r="J19" i="28"/>
  <c r="J11" i="28"/>
  <c r="J12" i="28"/>
  <c r="J22" i="28"/>
  <c r="J23" i="28"/>
  <c r="J16" i="28"/>
  <c r="J21" i="27"/>
  <c r="J23" i="27"/>
  <c r="J10" i="27"/>
  <c r="J19" i="27"/>
  <c r="J15" i="27"/>
  <c r="J24" i="27"/>
  <c r="J18" i="27"/>
  <c r="J12" i="27"/>
  <c r="J9" i="27"/>
  <c r="J16" i="27"/>
  <c r="J13" i="27"/>
  <c r="J20" i="27"/>
  <c r="J27" i="27"/>
  <c r="J14" i="27"/>
  <c r="J22" i="27"/>
  <c r="J17" i="27"/>
  <c r="J26" i="27"/>
  <c r="J25" i="27"/>
  <c r="J28" i="27"/>
  <c r="J11" i="27"/>
  <c r="AY28" i="26"/>
  <c r="AY27" i="26"/>
  <c r="AY26" i="26"/>
  <c r="AY25" i="26"/>
  <c r="AY24" i="26"/>
  <c r="AY23" i="26"/>
  <c r="AY22" i="26"/>
  <c r="AY21" i="26"/>
  <c r="AY20" i="26"/>
  <c r="AY19" i="26"/>
  <c r="AY18" i="26"/>
  <c r="AY17" i="26"/>
  <c r="AY16" i="26"/>
  <c r="AY15" i="26"/>
  <c r="AY14" i="26"/>
  <c r="AY13" i="26"/>
  <c r="AY12" i="26"/>
  <c r="AY11" i="26"/>
  <c r="AY10" i="26"/>
  <c r="AY9" i="26"/>
  <c r="J9" i="2"/>
  <c r="J10" i="2"/>
  <c r="J11" i="2"/>
  <c r="J12" i="2"/>
  <c r="J14" i="2"/>
  <c r="J16" i="2"/>
  <c r="J21" i="2"/>
  <c r="J24" i="2"/>
  <c r="J27" i="2"/>
  <c r="J15" i="2"/>
  <c r="J17" i="2"/>
  <c r="J25" i="2"/>
  <c r="J13" i="2"/>
  <c r="J20" i="2"/>
  <c r="J19" i="2"/>
  <c r="J28" i="2"/>
  <c r="J23" i="2"/>
  <c r="J18" i="2"/>
  <c r="J26" i="2"/>
  <c r="J22" i="2"/>
  <c r="J27" i="36" l="1"/>
  <c r="J20" i="36"/>
  <c r="J21" i="36"/>
  <c r="J28" i="36"/>
  <c r="J22" i="36"/>
  <c r="J13" i="36"/>
  <c r="J25" i="36"/>
  <c r="J17" i="36"/>
  <c r="J15" i="36"/>
  <c r="J11" i="36"/>
  <c r="J19" i="36"/>
  <c r="J14" i="36"/>
  <c r="J12" i="36"/>
  <c r="J18" i="36"/>
  <c r="J24" i="36"/>
  <c r="J16" i="36"/>
  <c r="J9" i="36"/>
  <c r="J23" i="36"/>
  <c r="J26" i="36"/>
  <c r="J10" i="36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J28" i="34"/>
  <c r="J25" i="34"/>
  <c r="J12" i="34"/>
  <c r="J19" i="34"/>
  <c r="J21" i="34"/>
  <c r="J14" i="34"/>
  <c r="J20" i="34"/>
  <c r="J18" i="34"/>
  <c r="J13" i="34"/>
  <c r="J22" i="34"/>
  <c r="J11" i="34"/>
  <c r="J15" i="34"/>
  <c r="J10" i="34"/>
  <c r="J17" i="34"/>
  <c r="J23" i="34"/>
  <c r="J27" i="34"/>
  <c r="J26" i="34"/>
  <c r="J9" i="34"/>
  <c r="J24" i="34"/>
  <c r="J16" i="34"/>
  <c r="J28" i="33"/>
  <c r="J10" i="33"/>
  <c r="J21" i="33"/>
  <c r="J16" i="33"/>
  <c r="J22" i="33"/>
  <c r="J14" i="33"/>
  <c r="J12" i="33"/>
  <c r="J11" i="33"/>
  <c r="J24" i="33"/>
  <c r="J18" i="33"/>
  <c r="J20" i="33"/>
  <c r="J26" i="33"/>
  <c r="J15" i="33"/>
  <c r="J23" i="33"/>
  <c r="J9" i="33"/>
  <c r="J17" i="33"/>
  <c r="J25" i="33"/>
  <c r="J13" i="33"/>
  <c r="J27" i="33"/>
  <c r="J19" i="33"/>
  <c r="J23" i="31"/>
  <c r="J20" i="31"/>
  <c r="J10" i="31"/>
  <c r="J18" i="31"/>
  <c r="J15" i="31"/>
  <c r="J27" i="31"/>
  <c r="J16" i="31"/>
  <c r="J12" i="31"/>
  <c r="J28" i="31"/>
  <c r="J13" i="31"/>
  <c r="J9" i="31"/>
  <c r="J25" i="31"/>
  <c r="J21" i="31"/>
  <c r="J11" i="31"/>
  <c r="J19" i="31"/>
  <c r="J26" i="31"/>
  <c r="J22" i="31"/>
  <c r="J14" i="31"/>
  <c r="J17" i="31"/>
  <c r="J24" i="31"/>
  <c r="AY26" i="30"/>
  <c r="AY22" i="30"/>
  <c r="AY18" i="30"/>
  <c r="AY14" i="30"/>
  <c r="AY10" i="30"/>
  <c r="AY25" i="30"/>
  <c r="AY21" i="30"/>
  <c r="AY17" i="30"/>
  <c r="AY13" i="30"/>
  <c r="AY9" i="30"/>
  <c r="AY28" i="30"/>
  <c r="AY24" i="30"/>
  <c r="AY20" i="30"/>
  <c r="AY16" i="30"/>
  <c r="AY12" i="30"/>
  <c r="AY27" i="30"/>
  <c r="AY23" i="30"/>
  <c r="AY19" i="30"/>
  <c r="AY15" i="30"/>
  <c r="AY11" i="30"/>
  <c r="AY14" i="29"/>
  <c r="AY12" i="29"/>
  <c r="AY10" i="29"/>
  <c r="AY28" i="29"/>
  <c r="AY27" i="29"/>
  <c r="AY25" i="29"/>
  <c r="AY24" i="29"/>
  <c r="AY20" i="29"/>
  <c r="AY19" i="29"/>
  <c r="AY15" i="29"/>
  <c r="AY11" i="29"/>
  <c r="AY9" i="29"/>
  <c r="AY26" i="29"/>
  <c r="AY23" i="29"/>
  <c r="AY22" i="29"/>
  <c r="AY21" i="29"/>
  <c r="AY18" i="29"/>
  <c r="AY17" i="29"/>
  <c r="AY16" i="29"/>
  <c r="AY13" i="29"/>
  <c r="AY28" i="28"/>
  <c r="AY27" i="28"/>
  <c r="AY26" i="28"/>
  <c r="AY25" i="28"/>
  <c r="AY24" i="28"/>
  <c r="AY23" i="28"/>
  <c r="AY22" i="28"/>
  <c r="AY21" i="28"/>
  <c r="AY20" i="28"/>
  <c r="AY19" i="28"/>
  <c r="AY18" i="28"/>
  <c r="AY17" i="28"/>
  <c r="AY16" i="28"/>
  <c r="AY15" i="28"/>
  <c r="AY14" i="28"/>
  <c r="AY13" i="28"/>
  <c r="AY12" i="28"/>
  <c r="AY11" i="28"/>
  <c r="AY10" i="28"/>
  <c r="AY9" i="28"/>
  <c r="AY27" i="27"/>
  <c r="AY23" i="27"/>
  <c r="AY19" i="27"/>
  <c r="AY15" i="27"/>
  <c r="AY11" i="27"/>
  <c r="AY26" i="27"/>
  <c r="AY22" i="27"/>
  <c r="AY18" i="27"/>
  <c r="AY14" i="27"/>
  <c r="AY10" i="27"/>
  <c r="AY25" i="27"/>
  <c r="AY21" i="27"/>
  <c r="AY17" i="27"/>
  <c r="AY9" i="27"/>
  <c r="AY28" i="27"/>
  <c r="AY20" i="27"/>
  <c r="AY13" i="27"/>
  <c r="AY24" i="27"/>
  <c r="AY16" i="27"/>
  <c r="AY12" i="27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4" i="36" l="1"/>
  <c r="AY28" i="36"/>
  <c r="AY27" i="36"/>
  <c r="AY26" i="36"/>
  <c r="AY25" i="36"/>
  <c r="AY23" i="36"/>
  <c r="AY22" i="36"/>
  <c r="AY21" i="36"/>
  <c r="AY20" i="36"/>
  <c r="AY19" i="36"/>
  <c r="AY18" i="36"/>
  <c r="AY17" i="36"/>
  <c r="AY16" i="36"/>
  <c r="AY15" i="36"/>
  <c r="AY14" i="36"/>
  <c r="AY13" i="36"/>
  <c r="AY12" i="36"/>
  <c r="AY11" i="36"/>
  <c r="AY10" i="36"/>
  <c r="AY9" i="36"/>
  <c r="AY28" i="34"/>
  <c r="AY27" i="34"/>
  <c r="AY26" i="34"/>
  <c r="AY25" i="34"/>
  <c r="AY24" i="34"/>
  <c r="AY23" i="34"/>
  <c r="AY22" i="34"/>
  <c r="AY21" i="34"/>
  <c r="AY20" i="34"/>
  <c r="AY19" i="34"/>
  <c r="AY17" i="34"/>
  <c r="AY15" i="34"/>
  <c r="AY13" i="34"/>
  <c r="AY18" i="34"/>
  <c r="AY16" i="34"/>
  <c r="AY14" i="34"/>
  <c r="AY12" i="34"/>
  <c r="AY10" i="34"/>
  <c r="AY11" i="34"/>
  <c r="AY9" i="34"/>
  <c r="AY28" i="33"/>
  <c r="AY27" i="33"/>
  <c r="AY26" i="33"/>
  <c r="AY25" i="33"/>
  <c r="AY24" i="33"/>
  <c r="AY23" i="33"/>
  <c r="AY22" i="33"/>
  <c r="AY21" i="33"/>
  <c r="AY20" i="33"/>
  <c r="AY19" i="33"/>
  <c r="AY17" i="33"/>
  <c r="AY16" i="33"/>
  <c r="AY15" i="33"/>
  <c r="AY14" i="33"/>
  <c r="AY11" i="33"/>
  <c r="AY10" i="33"/>
  <c r="AY9" i="33"/>
  <c r="AY18" i="33"/>
  <c r="AY13" i="33"/>
  <c r="AY12" i="33"/>
  <c r="AY25" i="31"/>
  <c r="AY22" i="31"/>
  <c r="AY18" i="31"/>
  <c r="AY16" i="31"/>
  <c r="AY28" i="31"/>
  <c r="AY27" i="31"/>
  <c r="AY26" i="31"/>
  <c r="AY24" i="31"/>
  <c r="AY23" i="31"/>
  <c r="AY21" i="31"/>
  <c r="AY20" i="31"/>
  <c r="AY19" i="31"/>
  <c r="AY17" i="31"/>
  <c r="AY15" i="31"/>
  <c r="AY14" i="31"/>
  <c r="AY13" i="31"/>
  <c r="AY12" i="31"/>
  <c r="AY11" i="31"/>
  <c r="AY10" i="31"/>
  <c r="AY9" i="31"/>
</calcChain>
</file>

<file path=xl/sharedStrings.xml><?xml version="1.0" encoding="utf-8"?>
<sst xmlns="http://schemas.openxmlformats.org/spreadsheetml/2006/main" count="8127" uniqueCount="47">
  <si>
    <t>Sr. No.</t>
  </si>
  <si>
    <t>Name</t>
  </si>
  <si>
    <t>Employee id</t>
  </si>
  <si>
    <t>Aarav Sharma</t>
  </si>
  <si>
    <t>Saanvi Mehta</t>
  </si>
  <si>
    <t>Vedant Iyer</t>
  </si>
  <si>
    <t>Anaya Kapoor</t>
  </si>
  <si>
    <t>Karan Malhotra</t>
  </si>
  <si>
    <t xml:space="preserve">Ishita Joshi </t>
  </si>
  <si>
    <t>Rohan Verma</t>
  </si>
  <si>
    <t>Nisha Gupta</t>
  </si>
  <si>
    <t xml:space="preserve">Arjun Patel </t>
  </si>
  <si>
    <t>Priya Desai</t>
  </si>
  <si>
    <t>Kabir Rathi</t>
  </si>
  <si>
    <t>Meera Nair</t>
  </si>
  <si>
    <t>Siddharth Bansal</t>
  </si>
  <si>
    <t>Anaya Khanna</t>
  </si>
  <si>
    <t>Laksh Singhaniya</t>
  </si>
  <si>
    <t>Tanvi Goyal</t>
  </si>
  <si>
    <t>Aditya Shekhawat</t>
  </si>
  <si>
    <t>Isha chauhan</t>
  </si>
  <si>
    <t>Vihaan Reddy</t>
  </si>
  <si>
    <t>Riya kaur</t>
  </si>
  <si>
    <t>Employee Id</t>
  </si>
  <si>
    <t>Employee Name</t>
  </si>
  <si>
    <t>To</t>
  </si>
  <si>
    <t>Week off</t>
  </si>
  <si>
    <t>From</t>
  </si>
  <si>
    <t>Days</t>
  </si>
  <si>
    <t>Additional Information</t>
  </si>
  <si>
    <t>Sr. no.</t>
  </si>
  <si>
    <t>Emp Id</t>
  </si>
  <si>
    <t>Emp Name</t>
  </si>
  <si>
    <t>Present</t>
  </si>
  <si>
    <t>Absent</t>
  </si>
  <si>
    <t>Leave</t>
  </si>
  <si>
    <t>Weekoff</t>
  </si>
  <si>
    <t>Paid Days</t>
  </si>
  <si>
    <t>Salary</t>
  </si>
  <si>
    <t>Paid Days Salary</t>
  </si>
  <si>
    <t>Deduction</t>
  </si>
  <si>
    <t>Total Salary</t>
  </si>
  <si>
    <t>P</t>
  </si>
  <si>
    <t>Month</t>
  </si>
  <si>
    <t>WO</t>
  </si>
  <si>
    <t>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</si>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</sst>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8"/>
      <color theme="0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2" fillId="0" borderId="0" xfId="0" applyFont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wrapText="1"/>
    </xf>
    <xf numFmtId="0" fontId="2" fillId="6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4" fontId="2" fillId="4" borderId="0" xfId="0" applyNumberFormat="1" applyFont="1" applyFill="1" applyAlignment="1">
      <alignment horizontal="center" wrapText="1"/>
    </xf>
    <xf numFmtId="1" fontId="2" fillId="4" borderId="0" xfId="0" applyNumberFormat="1" applyFont="1" applyFill="1" applyAlignment="1">
      <alignment horizont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2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299"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rgb="FF33CC33"/>
        </patternFill>
      </fill>
    </dxf>
    <dxf>
      <font>
        <color theme="1"/>
      </font>
      <fill>
        <patternFill>
          <bgColor rgb="FFFF0066"/>
        </patternFill>
      </fill>
    </dxf>
    <dxf>
      <font>
        <color theme="6" tint="-0.2499465926084170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  <color rgb="FFFF0066"/>
      <color rgb="FF33CC33"/>
      <color rgb="FFFFFFCC"/>
      <color rgb="FFFFCC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e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03E2A1-9E93-68C4-5E31-794D24533D8E}"/>
            </a:ext>
          </a:extLst>
        </xdr:cNvPr>
        <xdr:cNvSpPr/>
      </xdr:nvSpPr>
      <xdr:spPr>
        <a:xfrm>
          <a:off x="19050" y="7143"/>
          <a:ext cx="1838325" cy="8351043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28" name="Rectangle: Rounded Corner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C447B-F51F-407A-AD1C-15CFE0B5EDF2}"/>
            </a:ext>
          </a:extLst>
        </xdr:cNvPr>
        <xdr:cNvSpPr/>
      </xdr:nvSpPr>
      <xdr:spPr>
        <a:xfrm>
          <a:off x="266700" y="1235867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29" name="Rectangle: Rounded Corners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9EDAC2-0B37-40E2-9569-7837CD53F84E}"/>
            </a:ext>
          </a:extLst>
        </xdr:cNvPr>
        <xdr:cNvSpPr/>
      </xdr:nvSpPr>
      <xdr:spPr>
        <a:xfrm>
          <a:off x="266700" y="1890233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30" name="Rectangle: Rounded Corners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4F9205-75A7-4D94-9D41-0D11E4F90498}"/>
            </a:ext>
          </a:extLst>
        </xdr:cNvPr>
        <xdr:cNvSpPr/>
      </xdr:nvSpPr>
      <xdr:spPr>
        <a:xfrm>
          <a:off x="266700" y="2544599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31" name="Rectangle: Rounded Corners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2CF0D3-6936-440E-B6F1-A189C158D3E4}"/>
            </a:ext>
          </a:extLst>
        </xdr:cNvPr>
        <xdr:cNvSpPr/>
      </xdr:nvSpPr>
      <xdr:spPr>
        <a:xfrm>
          <a:off x="266700" y="3198965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33" name="Rectangle: Rounded Corners 3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FD4AF0-7DC4-4E23-A3A8-E9CC441D359A}"/>
            </a:ext>
          </a:extLst>
        </xdr:cNvPr>
        <xdr:cNvSpPr/>
      </xdr:nvSpPr>
      <xdr:spPr>
        <a:xfrm>
          <a:off x="266700" y="3853331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34" name="Rectangle: Rounded Corners 3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F990DA6-0914-4399-9B9D-009B326594E8}"/>
            </a:ext>
          </a:extLst>
        </xdr:cNvPr>
        <xdr:cNvSpPr/>
      </xdr:nvSpPr>
      <xdr:spPr>
        <a:xfrm>
          <a:off x="266700" y="4507697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35" name="Rectangle: Rounded Corners 3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AA4DA5-9AD8-4581-B4A2-A52DB72AECA6}"/>
            </a:ext>
          </a:extLst>
        </xdr:cNvPr>
        <xdr:cNvSpPr/>
      </xdr:nvSpPr>
      <xdr:spPr>
        <a:xfrm>
          <a:off x="266700" y="5162062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36" name="Rectangle: Rounded Corners 3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4E9DE5B-CB5F-4832-A80B-2B68873ECDC4}"/>
            </a:ext>
          </a:extLst>
        </xdr:cNvPr>
        <xdr:cNvSpPr/>
      </xdr:nvSpPr>
      <xdr:spPr>
        <a:xfrm>
          <a:off x="266700" y="5804524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37" name="Rectangle: Rounded Corners 3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B17B911-D400-4E17-8856-12B98B4FBBCA}"/>
            </a:ext>
          </a:extLst>
        </xdr:cNvPr>
        <xdr:cNvSpPr/>
      </xdr:nvSpPr>
      <xdr:spPr>
        <a:xfrm>
          <a:off x="266700" y="6446986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B0B90F1E-4682-8F35-9C94-047DD97ABD7B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38" name="Rectangle: Rounded Corners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DE47A62-FA37-4DFD-A3CB-884C91AEDAAB}"/>
            </a:ext>
          </a:extLst>
        </xdr:cNvPr>
        <xdr:cNvSpPr/>
      </xdr:nvSpPr>
      <xdr:spPr>
        <a:xfrm>
          <a:off x="266700" y="7089448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39" name="Rectangle: Rounded Corners 3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E0C63AF-1E1F-4D79-8C6F-C18AAE6F511C}"/>
            </a:ext>
          </a:extLst>
        </xdr:cNvPr>
        <xdr:cNvSpPr/>
      </xdr:nvSpPr>
      <xdr:spPr>
        <a:xfrm>
          <a:off x="266700" y="7731912"/>
          <a:ext cx="1528763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1</xdr:col>
      <xdr:colOff>90488</xdr:colOff>
      <xdr:row>3</xdr:row>
      <xdr:rowOff>19046</xdr:rowOff>
    </xdr:from>
    <xdr:to>
      <xdr:col>3</xdr:col>
      <xdr:colOff>404814</xdr:colOff>
      <xdr:row>5</xdr:row>
      <xdr:rowOff>57146</xdr:rowOff>
    </xdr:to>
    <xdr:sp macro="" textlink="">
      <xdr:nvSpPr>
        <xdr:cNvPr id="41" name="Rectangle: Rounded Corners 4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7EEE4C5-A210-4B0A-9EE9-8AAAB7EC5EA6}"/>
            </a:ext>
          </a:extLst>
        </xdr:cNvPr>
        <xdr:cNvSpPr/>
      </xdr:nvSpPr>
      <xdr:spPr>
        <a:xfrm>
          <a:off x="697707" y="590546"/>
          <a:ext cx="1528763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E198C134-3032-42EE-9F52-695333265DA7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49" name="Rectangle: Rounded Corners 48">
          <a:extLst>
            <a:ext uri="{FF2B5EF4-FFF2-40B4-BE49-F238E27FC236}">
              <a16:creationId xmlns:a16="http://schemas.microsoft.com/office/drawing/2014/main" id="{5E9B150F-D00F-402E-AB02-9E81855DBEC0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31-01-2025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50" name="Rectangle: Rounded Corners 49">
          <a:extLst>
            <a:ext uri="{FF2B5EF4-FFF2-40B4-BE49-F238E27FC236}">
              <a16:creationId xmlns:a16="http://schemas.microsoft.com/office/drawing/2014/main" id="{0CC79011-43D2-4B8A-852B-02C620F9E95A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01-01-2025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E19B5D86-62F0-487C-B331-8372BA90CBF0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F1264F2A-BEE0-4E3A-BA02-76940CC2A224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4" name="Graphic 3" descr="Magnifying glass with solid fill">
          <a:extLst>
            <a:ext uri="{FF2B5EF4-FFF2-40B4-BE49-F238E27FC236}">
              <a16:creationId xmlns:a16="http://schemas.microsoft.com/office/drawing/2014/main" id="{16A3A0BB-B2D4-E8B5-B4E6-8FB0FBF60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0B07200-2F34-3369-0F6C-C3FA8009661B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7" name="Rectangle 6">
          <a:extLst>
            <a:ext uri="{FF2B5EF4-FFF2-40B4-BE49-F238E27FC236}">
              <a16:creationId xmlns:a16="http://schemas.microsoft.com/office/drawing/2014/main" id="{013EBA7F-F883-8815-0200-6126307D8918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Jan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8212EE4-107F-5AFD-650C-44776BC3151E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0E8CA8C-2562-BAC6-5C33-DA475612148E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CC67F66-DA1B-E4D9-2B56-D143FF35994F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79D2436-49E9-DBB4-D3B3-57F651CB9F33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C876D93-F4BB-4179-9632-0D0D21621E58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104775</xdr:colOff>
      <xdr:row>6</xdr:row>
      <xdr:rowOff>92867</xdr:rowOff>
    </xdr:from>
    <xdr:to>
      <xdr:col>3</xdr:col>
      <xdr:colOff>419100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5138B4-53BB-47F6-958A-23941D1ED9CB}"/>
            </a:ext>
          </a:extLst>
        </xdr:cNvPr>
        <xdr:cNvSpPr/>
      </xdr:nvSpPr>
      <xdr:spPr>
        <a:xfrm>
          <a:off x="714375" y="1245392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7E10F4-E16B-4C93-82CF-D658DFF78019}"/>
            </a:ext>
          </a:extLst>
        </xdr:cNvPr>
        <xdr:cNvSpPr/>
      </xdr:nvSpPr>
      <xdr:spPr>
        <a:xfrm>
          <a:off x="266700" y="1899758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82CCA4-FA13-4A52-B887-6F8DCDB6B5DA}"/>
            </a:ext>
          </a:extLst>
        </xdr:cNvPr>
        <xdr:cNvSpPr/>
      </xdr:nvSpPr>
      <xdr:spPr>
        <a:xfrm>
          <a:off x="266700" y="2554124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696BB7-350E-4E66-AA10-8F58B719935E}"/>
            </a:ext>
          </a:extLst>
        </xdr:cNvPr>
        <xdr:cNvSpPr/>
      </xdr:nvSpPr>
      <xdr:spPr>
        <a:xfrm>
          <a:off x="266700" y="3208490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7EB149F-7999-42E4-8F80-5C201184038D}"/>
            </a:ext>
          </a:extLst>
        </xdr:cNvPr>
        <xdr:cNvSpPr/>
      </xdr:nvSpPr>
      <xdr:spPr>
        <a:xfrm>
          <a:off x="266700" y="3862856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43E733A-D510-492B-ACC5-A80331F8CA28}"/>
            </a:ext>
          </a:extLst>
        </xdr:cNvPr>
        <xdr:cNvSpPr/>
      </xdr:nvSpPr>
      <xdr:spPr>
        <a:xfrm>
          <a:off x="266700" y="451722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C25E90-DE36-4060-A673-962751C9686F}"/>
            </a:ext>
          </a:extLst>
        </xdr:cNvPr>
        <xdr:cNvSpPr/>
      </xdr:nvSpPr>
      <xdr:spPr>
        <a:xfrm>
          <a:off x="266700" y="517158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3BA2A26-E54C-47BC-9B0E-052D02AA2FC5}"/>
            </a:ext>
          </a:extLst>
        </xdr:cNvPr>
        <xdr:cNvSpPr/>
      </xdr:nvSpPr>
      <xdr:spPr>
        <a:xfrm>
          <a:off x="266700" y="5814049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473D237-D0C6-498F-8554-70AC11E4A3CD}"/>
            </a:ext>
          </a:extLst>
        </xdr:cNvPr>
        <xdr:cNvSpPr/>
      </xdr:nvSpPr>
      <xdr:spPr>
        <a:xfrm>
          <a:off x="266700" y="6456511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81A8368-A878-4ECF-91C6-7BD461AD5EB2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85F2DD9-E68B-4B0B-9F8A-609DD607D09F}"/>
            </a:ext>
          </a:extLst>
        </xdr:cNvPr>
        <xdr:cNvSpPr/>
      </xdr:nvSpPr>
      <xdr:spPr>
        <a:xfrm>
          <a:off x="266700" y="7098973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64BFDF4-AE30-4159-A2CA-9D95EC8AFF38}"/>
            </a:ext>
          </a:extLst>
        </xdr:cNvPr>
        <xdr:cNvSpPr/>
      </xdr:nvSpPr>
      <xdr:spPr>
        <a:xfrm>
          <a:off x="266700" y="774143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233363</xdr:colOff>
      <xdr:row>3</xdr:row>
      <xdr:rowOff>19046</xdr:rowOff>
    </xdr:from>
    <xdr:to>
      <xdr:col>2</xdr:col>
      <xdr:colOff>547689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9EB8D84-56FF-490A-9B6E-AB695C868DCB}"/>
            </a:ext>
          </a:extLst>
        </xdr:cNvPr>
        <xdr:cNvSpPr/>
      </xdr:nvSpPr>
      <xdr:spPr>
        <a:xfrm>
          <a:off x="233363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2B48644-AC52-4A63-A7C3-AA707D186E10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12D9E4C3-8C95-45F8-96E3-229388201FD7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28-02-2025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06E431E5-4B0B-4AD4-B56F-0058C2A0A042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01-02-2025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4AB9EB2F-A098-4E71-995A-E67AC52B4955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DE0B6A75-823A-4581-A491-E421BA97B3F1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5B88FDD7-341A-4D8C-A361-BEBE4BEA7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93EFE49-CCB6-4D45-89F5-EB88135ADD42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3B8CCDEA-9971-4DA0-9974-711A562812F0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Feb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4885D95-6359-41F0-B1F5-28B2CB996466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2835B01-9B89-4EA5-9596-0C2FB69BC957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CDCE7EA-22DC-443C-9B39-3EE64F5E211F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6ACC1BB-E604-4DB6-BA69-332742AC85B4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882BEC-9FF5-4A72-8A86-E15ADFD7D71E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29516A-84C8-411E-81EF-F8BEE5777F0A}"/>
            </a:ext>
          </a:extLst>
        </xdr:cNvPr>
        <xdr:cNvSpPr/>
      </xdr:nvSpPr>
      <xdr:spPr>
        <a:xfrm>
          <a:off x="266700" y="124539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1</xdr:col>
      <xdr:colOff>0</xdr:colOff>
      <xdr:row>9</xdr:row>
      <xdr:rowOff>175733</xdr:rowOff>
    </xdr:from>
    <xdr:to>
      <xdr:col>3</xdr:col>
      <xdr:colOff>314325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770C4B-3DE8-4DA0-93DA-C301A55E5955}"/>
            </a:ext>
          </a:extLst>
        </xdr:cNvPr>
        <xdr:cNvSpPr/>
      </xdr:nvSpPr>
      <xdr:spPr>
        <a:xfrm>
          <a:off x="609600" y="1899758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6207BD-C388-49F8-9EF3-210052854B92}"/>
            </a:ext>
          </a:extLst>
        </xdr:cNvPr>
        <xdr:cNvSpPr/>
      </xdr:nvSpPr>
      <xdr:spPr>
        <a:xfrm>
          <a:off x="266700" y="2554124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08C9BE-7DC9-4F65-A101-F847B2A6BF53}"/>
            </a:ext>
          </a:extLst>
        </xdr:cNvPr>
        <xdr:cNvSpPr/>
      </xdr:nvSpPr>
      <xdr:spPr>
        <a:xfrm>
          <a:off x="266700" y="3208490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647DCD-605D-4D6F-9560-3C80D3379713}"/>
            </a:ext>
          </a:extLst>
        </xdr:cNvPr>
        <xdr:cNvSpPr/>
      </xdr:nvSpPr>
      <xdr:spPr>
        <a:xfrm>
          <a:off x="266700" y="3862856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D322A1-F63D-470A-A12E-0A5E5A6BC805}"/>
            </a:ext>
          </a:extLst>
        </xdr:cNvPr>
        <xdr:cNvSpPr/>
      </xdr:nvSpPr>
      <xdr:spPr>
        <a:xfrm>
          <a:off x="266700" y="451722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D12D42C-7AE4-430E-A27A-0FC43CAD66DF}"/>
            </a:ext>
          </a:extLst>
        </xdr:cNvPr>
        <xdr:cNvSpPr/>
      </xdr:nvSpPr>
      <xdr:spPr>
        <a:xfrm>
          <a:off x="266700" y="517158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240A4A1-54AF-46C1-B3CE-257FDCAC7BE8}"/>
            </a:ext>
          </a:extLst>
        </xdr:cNvPr>
        <xdr:cNvSpPr/>
      </xdr:nvSpPr>
      <xdr:spPr>
        <a:xfrm>
          <a:off x="266700" y="5814049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0829ACE-59DC-4D73-AAA5-E8AC25E5EBFB}"/>
            </a:ext>
          </a:extLst>
        </xdr:cNvPr>
        <xdr:cNvSpPr/>
      </xdr:nvSpPr>
      <xdr:spPr>
        <a:xfrm>
          <a:off x="266700" y="6456511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C4C1CBA-770A-43C0-96F8-FB79F84C6B2D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DCCEE65-E42C-4DD6-B6B5-8050ED865E3B}"/>
            </a:ext>
          </a:extLst>
        </xdr:cNvPr>
        <xdr:cNvSpPr/>
      </xdr:nvSpPr>
      <xdr:spPr>
        <a:xfrm>
          <a:off x="266700" y="7098973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DBFA27-8E0C-4A97-9FBE-3EDD1AF15E64}"/>
            </a:ext>
          </a:extLst>
        </xdr:cNvPr>
        <xdr:cNvSpPr/>
      </xdr:nvSpPr>
      <xdr:spPr>
        <a:xfrm>
          <a:off x="266700" y="774143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271463</xdr:colOff>
      <xdr:row>3</xdr:row>
      <xdr:rowOff>19046</xdr:rowOff>
    </xdr:from>
    <xdr:to>
      <xdr:col>2</xdr:col>
      <xdr:colOff>585789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993AB8-5025-4AA0-BF69-431AF4595178}"/>
            </a:ext>
          </a:extLst>
        </xdr:cNvPr>
        <xdr:cNvSpPr/>
      </xdr:nvSpPr>
      <xdr:spPr>
        <a:xfrm>
          <a:off x="271463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7D8A90E-D058-4C24-AD6B-C749841495E1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E2366D2F-0E4A-447E-BBAA-E8639751C4C3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31-03-2025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4DC0B362-F6BF-40D1-B181-9D09E2FAF756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01-03-2025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D99EF256-BA59-4E63-ACAB-F5500E442794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3C30E73B-4B23-4FA1-BDC0-2FF0C2B7A314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4B344500-D1A1-4F07-8945-5F7B5F63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FB81423-A59B-438C-860C-4EDF2B06D554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EFEEF428-56B5-44ED-82F0-2870E564A374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Mar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CB9B45C-6E60-4CE8-91DA-979D69465B22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F0B8036-FC3A-4027-960F-B648E8C9785F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CFD20C8-DF69-4796-81D4-F232127596E4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0733757-050D-4C9E-B9D3-0CEED7959009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9D90B7-0417-4FA5-92F1-83ABFDB1AAF0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8F4CDA-8B43-4FEF-BFB4-413825107C3C}"/>
            </a:ext>
          </a:extLst>
        </xdr:cNvPr>
        <xdr:cNvSpPr/>
      </xdr:nvSpPr>
      <xdr:spPr>
        <a:xfrm>
          <a:off x="266700" y="124539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5D3873-B4CB-4DF4-BD81-735A3633CF92}"/>
            </a:ext>
          </a:extLst>
        </xdr:cNvPr>
        <xdr:cNvSpPr/>
      </xdr:nvSpPr>
      <xdr:spPr>
        <a:xfrm>
          <a:off x="266700" y="1899758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1</xdr:col>
      <xdr:colOff>66675</xdr:colOff>
      <xdr:row>13</xdr:row>
      <xdr:rowOff>68099</xdr:rowOff>
    </xdr:from>
    <xdr:to>
      <xdr:col>3</xdr:col>
      <xdr:colOff>381000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7AE798-E45B-4941-893F-6C31EA362CA4}"/>
            </a:ext>
          </a:extLst>
        </xdr:cNvPr>
        <xdr:cNvSpPr/>
      </xdr:nvSpPr>
      <xdr:spPr>
        <a:xfrm>
          <a:off x="676275" y="2554124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A2F01F-7677-4ABF-A22B-42409998A4B2}"/>
            </a:ext>
          </a:extLst>
        </xdr:cNvPr>
        <xdr:cNvSpPr/>
      </xdr:nvSpPr>
      <xdr:spPr>
        <a:xfrm>
          <a:off x="266700" y="3208490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9088CE8-4DA1-461C-BC50-35106F27A7AF}"/>
            </a:ext>
          </a:extLst>
        </xdr:cNvPr>
        <xdr:cNvSpPr/>
      </xdr:nvSpPr>
      <xdr:spPr>
        <a:xfrm>
          <a:off x="266700" y="3862856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4073A3D-A4E8-43A6-9147-E88AAC1CE0E3}"/>
            </a:ext>
          </a:extLst>
        </xdr:cNvPr>
        <xdr:cNvSpPr/>
      </xdr:nvSpPr>
      <xdr:spPr>
        <a:xfrm>
          <a:off x="266700" y="451722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0BD809-375E-4930-9B65-1FE33A4F3BA4}"/>
            </a:ext>
          </a:extLst>
        </xdr:cNvPr>
        <xdr:cNvSpPr/>
      </xdr:nvSpPr>
      <xdr:spPr>
        <a:xfrm>
          <a:off x="266700" y="517158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025D864-D28F-4FDC-8393-3ECE5AC4875D}"/>
            </a:ext>
          </a:extLst>
        </xdr:cNvPr>
        <xdr:cNvSpPr/>
      </xdr:nvSpPr>
      <xdr:spPr>
        <a:xfrm>
          <a:off x="266700" y="5814049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9E7F3E-67C5-4B3E-B2DB-DD87D216E34E}"/>
            </a:ext>
          </a:extLst>
        </xdr:cNvPr>
        <xdr:cNvSpPr/>
      </xdr:nvSpPr>
      <xdr:spPr>
        <a:xfrm>
          <a:off x="266700" y="6456511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47AFCC2-D1FA-4C83-B135-1CAF1512883F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B5CAE7A-EA81-476E-BF8F-3AE5FB65957E}"/>
            </a:ext>
          </a:extLst>
        </xdr:cNvPr>
        <xdr:cNvSpPr/>
      </xdr:nvSpPr>
      <xdr:spPr>
        <a:xfrm>
          <a:off x="266700" y="7098973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C26AF1E-D5BE-4190-BA02-44DDA74E1738}"/>
            </a:ext>
          </a:extLst>
        </xdr:cNvPr>
        <xdr:cNvSpPr/>
      </xdr:nvSpPr>
      <xdr:spPr>
        <a:xfrm>
          <a:off x="266700" y="774143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261938</xdr:colOff>
      <xdr:row>3</xdr:row>
      <xdr:rowOff>19046</xdr:rowOff>
    </xdr:from>
    <xdr:to>
      <xdr:col>2</xdr:col>
      <xdr:colOff>576264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3C79764-3F55-47F6-88DC-E55202B4009B}"/>
            </a:ext>
          </a:extLst>
        </xdr:cNvPr>
        <xdr:cNvSpPr/>
      </xdr:nvSpPr>
      <xdr:spPr>
        <a:xfrm>
          <a:off x="261938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EE5BF34B-93F6-409F-955E-0274846BFA00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4EFE84AB-69A4-48C5-9217-DAA1A81340BF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30-04-2025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1F992042-0084-4DAD-ABCA-358582EFFB12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01-04-2025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F531DAD-2D6F-4FAC-BFF8-6AE121793E1A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4FBAE6D7-75DB-4589-9B3E-EF082745B31F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DC0DF7C3-2BE9-47CB-942A-63D60DD50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F746ACD-D95B-47C9-9AAC-EA00FB17AFD0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FBD27BA3-C3A3-4C91-B030-42274357B90B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Apr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480FF42-0795-4547-945A-588ED7DE1077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B537F96-A253-47CC-B177-02773539F4F1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E40C710-00DF-4650-8854-4B91F786BBB5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DC24B4B-D69C-4DAF-BE39-CD027576729E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6A37933-A434-47C2-A41B-7D7FC07F1B1A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B3AD92-533E-42ED-9D13-6245AC4A52C4}"/>
            </a:ext>
          </a:extLst>
        </xdr:cNvPr>
        <xdr:cNvSpPr/>
      </xdr:nvSpPr>
      <xdr:spPr>
        <a:xfrm>
          <a:off x="266700" y="124539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6C8C9E-F5CC-46B8-A20B-DEFD4A6A19F1}"/>
            </a:ext>
          </a:extLst>
        </xdr:cNvPr>
        <xdr:cNvSpPr/>
      </xdr:nvSpPr>
      <xdr:spPr>
        <a:xfrm>
          <a:off x="266700" y="1899758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22F261-5983-4207-8C2E-A13478C0FC7D}"/>
            </a:ext>
          </a:extLst>
        </xdr:cNvPr>
        <xdr:cNvSpPr/>
      </xdr:nvSpPr>
      <xdr:spPr>
        <a:xfrm>
          <a:off x="266700" y="2554124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1</xdr:col>
      <xdr:colOff>152400</xdr:colOff>
      <xdr:row>16</xdr:row>
      <xdr:rowOff>150965</xdr:rowOff>
    </xdr:from>
    <xdr:to>
      <xdr:col>3</xdr:col>
      <xdr:colOff>466725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A5BD5D-CAAA-4385-96B7-8E700FF94549}"/>
            </a:ext>
          </a:extLst>
        </xdr:cNvPr>
        <xdr:cNvSpPr/>
      </xdr:nvSpPr>
      <xdr:spPr>
        <a:xfrm>
          <a:off x="762000" y="3208490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43F19B-40C2-49EE-B6CE-004CE3767418}"/>
            </a:ext>
          </a:extLst>
        </xdr:cNvPr>
        <xdr:cNvSpPr/>
      </xdr:nvSpPr>
      <xdr:spPr>
        <a:xfrm>
          <a:off x="266700" y="3862856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77F897-D2ED-429D-B86F-B8AB4CB22CF0}"/>
            </a:ext>
          </a:extLst>
        </xdr:cNvPr>
        <xdr:cNvSpPr/>
      </xdr:nvSpPr>
      <xdr:spPr>
        <a:xfrm>
          <a:off x="266700" y="451722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45C16B-5331-4A5B-AB92-DB6506914134}"/>
            </a:ext>
          </a:extLst>
        </xdr:cNvPr>
        <xdr:cNvSpPr/>
      </xdr:nvSpPr>
      <xdr:spPr>
        <a:xfrm>
          <a:off x="266700" y="517158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8EBF756-EFA2-49FA-BD0C-8D7BCC0A0765}"/>
            </a:ext>
          </a:extLst>
        </xdr:cNvPr>
        <xdr:cNvSpPr/>
      </xdr:nvSpPr>
      <xdr:spPr>
        <a:xfrm>
          <a:off x="266700" y="5814049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F718562-3E11-4E42-BCBE-8D18F94F2C92}"/>
            </a:ext>
          </a:extLst>
        </xdr:cNvPr>
        <xdr:cNvSpPr/>
      </xdr:nvSpPr>
      <xdr:spPr>
        <a:xfrm>
          <a:off x="266700" y="6456511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5D065AC-75B3-4252-9F7F-0DD1DE6E6FA4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F8877A2-5C63-4E74-AE4C-ED2251AA2478}"/>
            </a:ext>
          </a:extLst>
        </xdr:cNvPr>
        <xdr:cNvSpPr/>
      </xdr:nvSpPr>
      <xdr:spPr>
        <a:xfrm>
          <a:off x="266700" y="7098973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AF4ABD9-CA01-4B9E-9403-ABC7BAB6C03F}"/>
            </a:ext>
          </a:extLst>
        </xdr:cNvPr>
        <xdr:cNvSpPr/>
      </xdr:nvSpPr>
      <xdr:spPr>
        <a:xfrm>
          <a:off x="266700" y="774143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261938</xdr:colOff>
      <xdr:row>3</xdr:row>
      <xdr:rowOff>19046</xdr:rowOff>
    </xdr:from>
    <xdr:to>
      <xdr:col>2</xdr:col>
      <xdr:colOff>576264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2FE07D9-7001-417A-B37D-327622B0F09E}"/>
            </a:ext>
          </a:extLst>
        </xdr:cNvPr>
        <xdr:cNvSpPr/>
      </xdr:nvSpPr>
      <xdr:spPr>
        <a:xfrm>
          <a:off x="261938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A49EC80-81B7-4AC9-8B8A-84CDE9E91742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F3B7EC9A-69F5-41F9-B6C5-FB83A494AA05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31-05-2025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5B5C9FA9-B5DB-4CEE-8450-156E85212B3C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01-05-2025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64313D09-F52B-47B3-A360-52BEEDD509D9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C2ECC63-7EDF-49CF-8A87-9E0E10FF6FCD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ADB1339B-CB3F-4FF2-AE14-7F83FF111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8280FD2-FFD1-4AF3-8C82-6FFBDAA43041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DE2456B6-D8F3-4419-B399-5EEA6BF5BE75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May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CE48B99-9403-489D-A46F-64841C51AF26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807101C-ECB1-49CC-8687-1067F37FFC82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BEE2167-4CF7-484C-9FD3-59B93B7ECE48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0340191-7100-46F7-85FE-543C499A8BAF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5FE8729-91A2-4979-BBC5-1B928F8120BF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7129CF-5B92-4750-BFA5-E388AE0112E0}"/>
            </a:ext>
          </a:extLst>
        </xdr:cNvPr>
        <xdr:cNvSpPr/>
      </xdr:nvSpPr>
      <xdr:spPr>
        <a:xfrm>
          <a:off x="266700" y="124539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788AD3-3362-4D26-9F4F-490866DC805C}"/>
            </a:ext>
          </a:extLst>
        </xdr:cNvPr>
        <xdr:cNvSpPr/>
      </xdr:nvSpPr>
      <xdr:spPr>
        <a:xfrm>
          <a:off x="266700" y="1899758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B0E724-0E96-43B6-A17C-12A89E293334}"/>
            </a:ext>
          </a:extLst>
        </xdr:cNvPr>
        <xdr:cNvSpPr/>
      </xdr:nvSpPr>
      <xdr:spPr>
        <a:xfrm>
          <a:off x="266700" y="2554124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2C66C7-BBC7-4CEC-93D4-F38E31B94411}"/>
            </a:ext>
          </a:extLst>
        </xdr:cNvPr>
        <xdr:cNvSpPr/>
      </xdr:nvSpPr>
      <xdr:spPr>
        <a:xfrm>
          <a:off x="266700" y="3208490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1</xdr:col>
      <xdr:colOff>57150</xdr:colOff>
      <xdr:row>20</xdr:row>
      <xdr:rowOff>43331</xdr:rowOff>
    </xdr:from>
    <xdr:to>
      <xdr:col>3</xdr:col>
      <xdr:colOff>371475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B766D7-1F2E-4E58-A32C-C9426F2FF5B6}"/>
            </a:ext>
          </a:extLst>
        </xdr:cNvPr>
        <xdr:cNvSpPr/>
      </xdr:nvSpPr>
      <xdr:spPr>
        <a:xfrm>
          <a:off x="666750" y="3862856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5ADC509-EB8C-43B6-901A-C68264C28DD9}"/>
            </a:ext>
          </a:extLst>
        </xdr:cNvPr>
        <xdr:cNvSpPr/>
      </xdr:nvSpPr>
      <xdr:spPr>
        <a:xfrm>
          <a:off x="266700" y="451722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A71CB36-93D5-49AA-999F-AA5A11FA01DF}"/>
            </a:ext>
          </a:extLst>
        </xdr:cNvPr>
        <xdr:cNvSpPr/>
      </xdr:nvSpPr>
      <xdr:spPr>
        <a:xfrm>
          <a:off x="266700" y="517158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8B713E6-1D72-4CCC-A755-D928017DBA55}"/>
            </a:ext>
          </a:extLst>
        </xdr:cNvPr>
        <xdr:cNvSpPr/>
      </xdr:nvSpPr>
      <xdr:spPr>
        <a:xfrm>
          <a:off x="266700" y="5814049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2A8639-7B66-49A1-98A3-B54422915183}"/>
            </a:ext>
          </a:extLst>
        </xdr:cNvPr>
        <xdr:cNvSpPr/>
      </xdr:nvSpPr>
      <xdr:spPr>
        <a:xfrm>
          <a:off x="266700" y="6456511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1F475E1-C521-42EC-B44C-6F5C1CE3488C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D1AA760-8BB0-460F-B1CC-A3C955855B3A}"/>
            </a:ext>
          </a:extLst>
        </xdr:cNvPr>
        <xdr:cNvSpPr/>
      </xdr:nvSpPr>
      <xdr:spPr>
        <a:xfrm>
          <a:off x="266700" y="7098973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B52205E-5D25-462A-9F93-30BA184356B7}"/>
            </a:ext>
          </a:extLst>
        </xdr:cNvPr>
        <xdr:cNvSpPr/>
      </xdr:nvSpPr>
      <xdr:spPr>
        <a:xfrm>
          <a:off x="266700" y="774143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252413</xdr:colOff>
      <xdr:row>3</xdr:row>
      <xdr:rowOff>19046</xdr:rowOff>
    </xdr:from>
    <xdr:to>
      <xdr:col>2</xdr:col>
      <xdr:colOff>566739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783E23C-1481-414D-BB78-3048CDA07A6C}"/>
            </a:ext>
          </a:extLst>
        </xdr:cNvPr>
        <xdr:cNvSpPr/>
      </xdr:nvSpPr>
      <xdr:spPr>
        <a:xfrm>
          <a:off x="252413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F5173D6-2593-4070-B3CD-AFE04097ED4E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FFAF2947-07CB-484B-B955-823184381695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30-06-2025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096C1C00-FF6C-47AB-AC2E-9E460296DEA8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01-06-2025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858533A-11C2-418D-9D25-B0B91307C91E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CC8DD13-2937-435C-89FB-C4E4496127DA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3086E642-692F-4BC1-B6FA-E0169927B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7D47BE1-23C6-42C9-A49F-588584DDDB6D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52F02634-71DD-43C8-9CC4-B83688705091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Jun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7BB93AC-1BE4-4ECD-8F65-88B2A345B150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E50A6C0-6D36-4E39-98AC-D03877028A3E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5E820B4-F84E-45DB-B89C-0FFEA6A569C8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40D41AF-DE82-49AB-9EB7-93F500E9E70B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93E6059-2FAC-46C6-89AB-B14C109EFA18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84D9B-F099-46C4-B48E-60BAB124B4E9}"/>
            </a:ext>
          </a:extLst>
        </xdr:cNvPr>
        <xdr:cNvSpPr/>
      </xdr:nvSpPr>
      <xdr:spPr>
        <a:xfrm>
          <a:off x="266700" y="124539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AAE489-1E52-47C6-BF6D-48BEB87F8160}"/>
            </a:ext>
          </a:extLst>
        </xdr:cNvPr>
        <xdr:cNvSpPr/>
      </xdr:nvSpPr>
      <xdr:spPr>
        <a:xfrm>
          <a:off x="266700" y="1899758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5D0291-C3CD-49B4-81D6-617DD879C8B9}"/>
            </a:ext>
          </a:extLst>
        </xdr:cNvPr>
        <xdr:cNvSpPr/>
      </xdr:nvSpPr>
      <xdr:spPr>
        <a:xfrm>
          <a:off x="266700" y="2554124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A79C4C-694A-4E17-8AFF-83564BB05A6C}"/>
            </a:ext>
          </a:extLst>
        </xdr:cNvPr>
        <xdr:cNvSpPr/>
      </xdr:nvSpPr>
      <xdr:spPr>
        <a:xfrm>
          <a:off x="266700" y="3208490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AEB9E0-C850-422E-9D59-C875DAABF85B}"/>
            </a:ext>
          </a:extLst>
        </xdr:cNvPr>
        <xdr:cNvSpPr/>
      </xdr:nvSpPr>
      <xdr:spPr>
        <a:xfrm>
          <a:off x="266700" y="3862856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1</xdr:col>
      <xdr:colOff>152400</xdr:colOff>
      <xdr:row>23</xdr:row>
      <xdr:rowOff>126197</xdr:rowOff>
    </xdr:from>
    <xdr:to>
      <xdr:col>3</xdr:col>
      <xdr:colOff>466725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D7B69AD-98FF-4A75-9EC1-3ED8742E4FC9}"/>
            </a:ext>
          </a:extLst>
        </xdr:cNvPr>
        <xdr:cNvSpPr/>
      </xdr:nvSpPr>
      <xdr:spPr>
        <a:xfrm>
          <a:off x="762000" y="4517222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CC9266-93BB-41E8-B840-C7E6B3CC1B61}"/>
            </a:ext>
          </a:extLst>
        </xdr:cNvPr>
        <xdr:cNvSpPr/>
      </xdr:nvSpPr>
      <xdr:spPr>
        <a:xfrm>
          <a:off x="266700" y="517158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440432F-4447-4F26-A7D7-81879FA2DB27}"/>
            </a:ext>
          </a:extLst>
        </xdr:cNvPr>
        <xdr:cNvSpPr/>
      </xdr:nvSpPr>
      <xdr:spPr>
        <a:xfrm>
          <a:off x="266700" y="5814049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662527-0CAC-41BC-A257-AE41A7194572}"/>
            </a:ext>
          </a:extLst>
        </xdr:cNvPr>
        <xdr:cNvSpPr/>
      </xdr:nvSpPr>
      <xdr:spPr>
        <a:xfrm>
          <a:off x="266700" y="6456511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12A721F-0107-4317-AA2C-907A2B67BCC8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28722A1-A3F9-40DE-A7D7-3799D1284F86}"/>
            </a:ext>
          </a:extLst>
        </xdr:cNvPr>
        <xdr:cNvSpPr/>
      </xdr:nvSpPr>
      <xdr:spPr>
        <a:xfrm>
          <a:off x="266700" y="7098973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2F80FF6-91AE-49AC-8803-7B111E97C0E4}"/>
            </a:ext>
          </a:extLst>
        </xdr:cNvPr>
        <xdr:cNvSpPr/>
      </xdr:nvSpPr>
      <xdr:spPr>
        <a:xfrm>
          <a:off x="266700" y="774143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261938</xdr:colOff>
      <xdr:row>3</xdr:row>
      <xdr:rowOff>19046</xdr:rowOff>
    </xdr:from>
    <xdr:to>
      <xdr:col>2</xdr:col>
      <xdr:colOff>576264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2B56E52-3AB3-423D-868B-04631F9D7C09}"/>
            </a:ext>
          </a:extLst>
        </xdr:cNvPr>
        <xdr:cNvSpPr/>
      </xdr:nvSpPr>
      <xdr:spPr>
        <a:xfrm>
          <a:off x="261938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C32C39C-FC71-4038-827A-D8E77C974A7F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DACD3E36-7098-40DC-9DE8-B4BB87E3D623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31-07-2025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097968AC-5C21-495A-A4DC-6310831F2001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01-07-2025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BFD780A0-D660-4BD1-AC96-9DB14B471FA7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308AB246-6516-42CC-ADF1-89A220590584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31D8FE1B-2295-46DE-9294-E7EC5212F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15C210F-0C0F-4D77-AD31-477DA8DAFBEE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51DDF343-549A-4E8D-98C5-D4C0C0468C91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Jul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1CDC85B-12B9-4E27-B520-E5547ACA688B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BDCF507-41C9-44C7-B489-CB72E08B510B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CAED2A5-16D3-4209-847F-9C0B30254508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1DB0BBA-01D6-4231-B5B0-A38E8468EB73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4003B5-2EC4-43FD-896A-A7B7E84D958D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AD4A22-AC34-4165-AFCA-4488710EC811}"/>
            </a:ext>
          </a:extLst>
        </xdr:cNvPr>
        <xdr:cNvSpPr/>
      </xdr:nvSpPr>
      <xdr:spPr>
        <a:xfrm>
          <a:off x="266700" y="124539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74F354-998B-4B20-A9CD-DA0CE9B3FE97}"/>
            </a:ext>
          </a:extLst>
        </xdr:cNvPr>
        <xdr:cNvSpPr/>
      </xdr:nvSpPr>
      <xdr:spPr>
        <a:xfrm>
          <a:off x="266700" y="1899758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2F17AC-A3EE-4DD6-A048-FE9030EDDA8B}"/>
            </a:ext>
          </a:extLst>
        </xdr:cNvPr>
        <xdr:cNvSpPr/>
      </xdr:nvSpPr>
      <xdr:spPr>
        <a:xfrm>
          <a:off x="266700" y="2554124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2CE73A-ACCB-405C-93A3-8B110D332CC6}"/>
            </a:ext>
          </a:extLst>
        </xdr:cNvPr>
        <xdr:cNvSpPr/>
      </xdr:nvSpPr>
      <xdr:spPr>
        <a:xfrm>
          <a:off x="266700" y="3208490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16F4C0-7594-4001-994D-EBCD2A916864}"/>
            </a:ext>
          </a:extLst>
        </xdr:cNvPr>
        <xdr:cNvSpPr/>
      </xdr:nvSpPr>
      <xdr:spPr>
        <a:xfrm>
          <a:off x="266700" y="3862856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1685C0-0666-4590-84CC-EB5DF111FDE3}"/>
            </a:ext>
          </a:extLst>
        </xdr:cNvPr>
        <xdr:cNvSpPr/>
      </xdr:nvSpPr>
      <xdr:spPr>
        <a:xfrm>
          <a:off x="266700" y="451722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1</xdr:col>
      <xdr:colOff>66675</xdr:colOff>
      <xdr:row>27</xdr:row>
      <xdr:rowOff>18562</xdr:rowOff>
    </xdr:from>
    <xdr:to>
      <xdr:col>3</xdr:col>
      <xdr:colOff>381000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A7FD93F-8E33-4851-AB34-B82145CD4492}"/>
            </a:ext>
          </a:extLst>
        </xdr:cNvPr>
        <xdr:cNvSpPr/>
      </xdr:nvSpPr>
      <xdr:spPr>
        <a:xfrm>
          <a:off x="676275" y="5171587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DCBF25B-E926-4B16-8744-0BF9FC1F2B7D}"/>
            </a:ext>
          </a:extLst>
        </xdr:cNvPr>
        <xdr:cNvSpPr/>
      </xdr:nvSpPr>
      <xdr:spPr>
        <a:xfrm>
          <a:off x="266700" y="5814049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7A93FDE-4D99-4CB6-9BD7-952900304D29}"/>
            </a:ext>
          </a:extLst>
        </xdr:cNvPr>
        <xdr:cNvSpPr/>
      </xdr:nvSpPr>
      <xdr:spPr>
        <a:xfrm>
          <a:off x="266700" y="6456511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CA68E93-2EF3-4581-B98E-3BCE7F480FCC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9F17251-0078-40EA-B2CC-FC9196609B6E}"/>
            </a:ext>
          </a:extLst>
        </xdr:cNvPr>
        <xdr:cNvSpPr/>
      </xdr:nvSpPr>
      <xdr:spPr>
        <a:xfrm>
          <a:off x="266700" y="7098973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CDCCE7E-8B38-4989-939A-E32742DD5360}"/>
            </a:ext>
          </a:extLst>
        </xdr:cNvPr>
        <xdr:cNvSpPr/>
      </xdr:nvSpPr>
      <xdr:spPr>
        <a:xfrm>
          <a:off x="266700" y="774143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261938</xdr:colOff>
      <xdr:row>3</xdr:row>
      <xdr:rowOff>19046</xdr:rowOff>
    </xdr:from>
    <xdr:to>
      <xdr:col>2</xdr:col>
      <xdr:colOff>576264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7327EB3-8066-48A9-851B-8325802EA53B}"/>
            </a:ext>
          </a:extLst>
        </xdr:cNvPr>
        <xdr:cNvSpPr/>
      </xdr:nvSpPr>
      <xdr:spPr>
        <a:xfrm>
          <a:off x="261938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D48A736B-2F5E-498E-87CB-318D31C036C2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68B03691-FE80-4067-8EC0-BCAFF0847151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31-08-2025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BD1D3D1E-4F3A-4896-80C6-63450FEB7822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01-08-2025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D3E5AA2-C12D-48F6-A022-B70F1631FFB8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13748C0-AF3A-4C84-98D0-BC047C318649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2F503F39-8EF2-4C9D-B771-B145F3FDC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E68DA80-23AE-4EDA-AFA8-3CA373FC6EAB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82398D48-3BA4-4A4C-93EC-E0F6428690E3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Aug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6468FDA-9946-451F-98AF-29096D09B3B2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6110900-9911-4C87-B0C1-8A755B3FE97B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0132F0-424D-44AC-B372-C5C72C4A7611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AAECB34-0CA7-4D6B-AF70-2B8EB54E8407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47CF42D-AC7A-46C7-9F6D-476CB82EC1D9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33969A-8530-4616-B41B-E72D5EC8B509}"/>
            </a:ext>
          </a:extLst>
        </xdr:cNvPr>
        <xdr:cNvSpPr/>
      </xdr:nvSpPr>
      <xdr:spPr>
        <a:xfrm>
          <a:off x="266700" y="124539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A42058-B84F-41DD-A7B6-F2C45499691E}"/>
            </a:ext>
          </a:extLst>
        </xdr:cNvPr>
        <xdr:cNvSpPr/>
      </xdr:nvSpPr>
      <xdr:spPr>
        <a:xfrm>
          <a:off x="266700" y="1899758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A58E94-2E1B-4525-A6DE-F7F6DAAC1AB9}"/>
            </a:ext>
          </a:extLst>
        </xdr:cNvPr>
        <xdr:cNvSpPr/>
      </xdr:nvSpPr>
      <xdr:spPr>
        <a:xfrm>
          <a:off x="266700" y="2554124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FAB7A78-2F95-4802-A359-2EEDE2FFFD1E}"/>
            </a:ext>
          </a:extLst>
        </xdr:cNvPr>
        <xdr:cNvSpPr/>
      </xdr:nvSpPr>
      <xdr:spPr>
        <a:xfrm>
          <a:off x="266700" y="3208490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29769FE-318B-4CA7-8DBA-5100DC3004B0}"/>
            </a:ext>
          </a:extLst>
        </xdr:cNvPr>
        <xdr:cNvSpPr/>
      </xdr:nvSpPr>
      <xdr:spPr>
        <a:xfrm>
          <a:off x="266700" y="3862856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48D3EAD-3FF3-4094-9CF3-394281D05623}"/>
            </a:ext>
          </a:extLst>
        </xdr:cNvPr>
        <xdr:cNvSpPr/>
      </xdr:nvSpPr>
      <xdr:spPr>
        <a:xfrm>
          <a:off x="266700" y="451722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7812BE7-F503-4C42-BF15-86B589B0AC15}"/>
            </a:ext>
          </a:extLst>
        </xdr:cNvPr>
        <xdr:cNvSpPr/>
      </xdr:nvSpPr>
      <xdr:spPr>
        <a:xfrm>
          <a:off x="266700" y="517158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1</xdr:col>
      <xdr:colOff>104775</xdr:colOff>
      <xdr:row>30</xdr:row>
      <xdr:rowOff>89524</xdr:rowOff>
    </xdr:from>
    <xdr:to>
      <xdr:col>3</xdr:col>
      <xdr:colOff>419100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3A11673-7383-4B78-A0A9-7EA82D18AD4C}"/>
            </a:ext>
          </a:extLst>
        </xdr:cNvPr>
        <xdr:cNvSpPr/>
      </xdr:nvSpPr>
      <xdr:spPr>
        <a:xfrm>
          <a:off x="714375" y="5814049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46AAE65-8D99-44C3-9508-FFBA6AC01C6A}"/>
            </a:ext>
          </a:extLst>
        </xdr:cNvPr>
        <xdr:cNvSpPr/>
      </xdr:nvSpPr>
      <xdr:spPr>
        <a:xfrm>
          <a:off x="266700" y="6456511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5CE56CC-FBCE-492F-9147-F559C5EEBFF6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E8E5ADB-54CE-4598-841D-B9742620408A}"/>
            </a:ext>
          </a:extLst>
        </xdr:cNvPr>
        <xdr:cNvSpPr/>
      </xdr:nvSpPr>
      <xdr:spPr>
        <a:xfrm>
          <a:off x="266700" y="7098973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E0DF931-9B97-41DA-8A53-0B673046B7FA}"/>
            </a:ext>
          </a:extLst>
        </xdr:cNvPr>
        <xdr:cNvSpPr/>
      </xdr:nvSpPr>
      <xdr:spPr>
        <a:xfrm>
          <a:off x="266700" y="774143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242888</xdr:colOff>
      <xdr:row>3</xdr:row>
      <xdr:rowOff>19046</xdr:rowOff>
    </xdr:from>
    <xdr:to>
      <xdr:col>2</xdr:col>
      <xdr:colOff>557214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91AA931-A83A-47C4-9F91-011C921237DA}"/>
            </a:ext>
          </a:extLst>
        </xdr:cNvPr>
        <xdr:cNvSpPr/>
      </xdr:nvSpPr>
      <xdr:spPr>
        <a:xfrm>
          <a:off x="242888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194C53A-CFB4-41F7-B4C3-B3107DC059DA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FEAFFFC6-E287-43EB-A8F1-CFCE626B7A53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30-09-2025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A600C4A7-AA70-4A6E-AE4A-A78F7B406F9A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01-09-2025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791E96A7-19B0-4D2D-8F91-6FC1C9269EF3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AC8F4E69-2370-4262-AEF1-7A1A1D8496AF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DE622092-A6DD-4193-A67E-C7E33D5E6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257D12A-1319-43E6-A580-4ACC62EFA281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777C048A-B89D-4751-A607-5AC098D4C7EB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Sep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512C160-3288-446D-B08C-D3027948F127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2643235-EEA3-454C-9072-A1943BEA3018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C437B89-A385-4A9F-8764-71DB51BAB6CF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38B3D17-74F0-4431-87F7-7DC9E96950ED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3523D4D-F41C-4DEE-97A8-8128898A5CAD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178859-EC4F-4A65-B45A-6F91A635D62B}"/>
            </a:ext>
          </a:extLst>
        </xdr:cNvPr>
        <xdr:cNvSpPr/>
      </xdr:nvSpPr>
      <xdr:spPr>
        <a:xfrm>
          <a:off x="266700" y="124539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CB35AA-2AB1-45F4-BF51-441ABDD2AEC4}"/>
            </a:ext>
          </a:extLst>
        </xdr:cNvPr>
        <xdr:cNvSpPr/>
      </xdr:nvSpPr>
      <xdr:spPr>
        <a:xfrm>
          <a:off x="266700" y="1899758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CC0622-BA3E-43F9-B8CF-6359D5C2A5BD}"/>
            </a:ext>
          </a:extLst>
        </xdr:cNvPr>
        <xdr:cNvSpPr/>
      </xdr:nvSpPr>
      <xdr:spPr>
        <a:xfrm>
          <a:off x="266700" y="2554124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93819C-AAEC-4618-A607-135F2DE578C6}"/>
            </a:ext>
          </a:extLst>
        </xdr:cNvPr>
        <xdr:cNvSpPr/>
      </xdr:nvSpPr>
      <xdr:spPr>
        <a:xfrm>
          <a:off x="266700" y="3208490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3EEA74-EF64-4720-BC15-84E886331899}"/>
            </a:ext>
          </a:extLst>
        </xdr:cNvPr>
        <xdr:cNvSpPr/>
      </xdr:nvSpPr>
      <xdr:spPr>
        <a:xfrm>
          <a:off x="266700" y="3862856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59DFDF9-589B-4FEA-B67C-85A6BC4EB8C4}"/>
            </a:ext>
          </a:extLst>
        </xdr:cNvPr>
        <xdr:cNvSpPr/>
      </xdr:nvSpPr>
      <xdr:spPr>
        <a:xfrm>
          <a:off x="266700" y="451722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AA532B-2831-40AC-8061-4E6D29E40C8B}"/>
            </a:ext>
          </a:extLst>
        </xdr:cNvPr>
        <xdr:cNvSpPr/>
      </xdr:nvSpPr>
      <xdr:spPr>
        <a:xfrm>
          <a:off x="266700" y="517158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48FC479-F66E-40D1-BA86-0248C75E957A}"/>
            </a:ext>
          </a:extLst>
        </xdr:cNvPr>
        <xdr:cNvSpPr/>
      </xdr:nvSpPr>
      <xdr:spPr>
        <a:xfrm>
          <a:off x="266700" y="5814049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1</xdr:col>
      <xdr:colOff>133350</xdr:colOff>
      <xdr:row>33</xdr:row>
      <xdr:rowOff>160486</xdr:rowOff>
    </xdr:from>
    <xdr:to>
      <xdr:col>3</xdr:col>
      <xdr:colOff>447675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BC2E74-1359-43AD-A8EF-744C89682E58}"/>
            </a:ext>
          </a:extLst>
        </xdr:cNvPr>
        <xdr:cNvSpPr/>
      </xdr:nvSpPr>
      <xdr:spPr>
        <a:xfrm>
          <a:off x="742950" y="6456511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7A07D43-E969-4307-9A5A-64C11B2AF4C8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1B98C84-920B-4809-B3F2-6735B1957E8C}"/>
            </a:ext>
          </a:extLst>
        </xdr:cNvPr>
        <xdr:cNvSpPr/>
      </xdr:nvSpPr>
      <xdr:spPr>
        <a:xfrm>
          <a:off x="266700" y="7098973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05A395E-BC9F-4DD2-91AD-758807432233}"/>
            </a:ext>
          </a:extLst>
        </xdr:cNvPr>
        <xdr:cNvSpPr/>
      </xdr:nvSpPr>
      <xdr:spPr>
        <a:xfrm>
          <a:off x="266700" y="774143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271463</xdr:colOff>
      <xdr:row>3</xdr:row>
      <xdr:rowOff>19046</xdr:rowOff>
    </xdr:from>
    <xdr:to>
      <xdr:col>2</xdr:col>
      <xdr:colOff>585789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5DB5134-0E4F-4FCE-92FA-A5AD206F669E}"/>
            </a:ext>
          </a:extLst>
        </xdr:cNvPr>
        <xdr:cNvSpPr/>
      </xdr:nvSpPr>
      <xdr:spPr>
        <a:xfrm>
          <a:off x="271463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BCE91E6-74F3-4A15-BA70-F4038A53452B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98D82B58-BE59-4866-80B9-EEC17FA2EE5A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31-10-2025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80861C44-0C7E-4213-9415-D34888338726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01-10-2025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72E3F5B-5313-4821-8AC3-7E86EEFF7C68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A0FB46FD-9605-4432-822D-E521ACC5C89F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75088150-20FB-4910-86AD-EAF2D8B4E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5FD7FD3-58B0-47CA-867C-580B6547D730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E91E4D2E-5CDD-4E6D-8B7D-31B94A4C2D24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Oct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DD2D016-3FDE-4874-9C34-BBB4A6D590A5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0570DC2-9DE3-46D7-B5F1-3CE950012D12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81728EB-CE1C-4673-A86B-9F5F4AE93603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47F6668-EB72-4BDE-BC91-CD67486A8819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F17E75-827A-470D-8F9A-7A1E25B6B0B6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93D5BC-BC67-47D2-97B8-A82B3D57B47C}"/>
            </a:ext>
          </a:extLst>
        </xdr:cNvPr>
        <xdr:cNvSpPr/>
      </xdr:nvSpPr>
      <xdr:spPr>
        <a:xfrm>
          <a:off x="266700" y="124539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7FFB33-AA4C-4961-9911-C02126CDB923}"/>
            </a:ext>
          </a:extLst>
        </xdr:cNvPr>
        <xdr:cNvSpPr/>
      </xdr:nvSpPr>
      <xdr:spPr>
        <a:xfrm>
          <a:off x="266700" y="1899758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60B02A-7636-4BF1-A4AA-3F25B457B54E}"/>
            </a:ext>
          </a:extLst>
        </xdr:cNvPr>
        <xdr:cNvSpPr/>
      </xdr:nvSpPr>
      <xdr:spPr>
        <a:xfrm>
          <a:off x="266700" y="2554124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C2CB62-63F8-49EA-B35B-F2F36DCAC396}"/>
            </a:ext>
          </a:extLst>
        </xdr:cNvPr>
        <xdr:cNvSpPr/>
      </xdr:nvSpPr>
      <xdr:spPr>
        <a:xfrm>
          <a:off x="266700" y="3208490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41D674-F959-44F5-9301-A95EA4CBAF04}"/>
            </a:ext>
          </a:extLst>
        </xdr:cNvPr>
        <xdr:cNvSpPr/>
      </xdr:nvSpPr>
      <xdr:spPr>
        <a:xfrm>
          <a:off x="266700" y="3862856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0182CB5-04B5-43FF-9136-D45AF34D522F}"/>
            </a:ext>
          </a:extLst>
        </xdr:cNvPr>
        <xdr:cNvSpPr/>
      </xdr:nvSpPr>
      <xdr:spPr>
        <a:xfrm>
          <a:off x="266700" y="451722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BEB9C31-7E70-42D9-8C3E-B20ABE1273E6}"/>
            </a:ext>
          </a:extLst>
        </xdr:cNvPr>
        <xdr:cNvSpPr/>
      </xdr:nvSpPr>
      <xdr:spPr>
        <a:xfrm>
          <a:off x="266700" y="517158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EC82E2-6B08-4285-88D3-D2D01AB6A9AA}"/>
            </a:ext>
          </a:extLst>
        </xdr:cNvPr>
        <xdr:cNvSpPr/>
      </xdr:nvSpPr>
      <xdr:spPr>
        <a:xfrm>
          <a:off x="266700" y="5814049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862D43C-495F-4B61-A641-F2A7E0A067D6}"/>
            </a:ext>
          </a:extLst>
        </xdr:cNvPr>
        <xdr:cNvSpPr/>
      </xdr:nvSpPr>
      <xdr:spPr>
        <a:xfrm>
          <a:off x="266700" y="6456511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B860B05-5D56-4BE4-BFD0-987DFD05A352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57150</xdr:colOff>
      <xdr:row>37</xdr:row>
      <xdr:rowOff>40948</xdr:rowOff>
    </xdr:from>
    <xdr:to>
      <xdr:col>3</xdr:col>
      <xdr:colOff>371475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6C9A4D8-9F68-487B-8AB5-75BACAC41626}"/>
            </a:ext>
          </a:extLst>
        </xdr:cNvPr>
        <xdr:cNvSpPr/>
      </xdr:nvSpPr>
      <xdr:spPr>
        <a:xfrm>
          <a:off x="666750" y="7098973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0</xdr:col>
      <xdr:colOff>266700</xdr:colOff>
      <xdr:row>40</xdr:row>
      <xdr:rowOff>111912</xdr:rowOff>
    </xdr:from>
    <xdr:to>
      <xdr:col>2</xdr:col>
      <xdr:colOff>581025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18C0035-9E59-49C8-B021-61137AFDA52D}"/>
            </a:ext>
          </a:extLst>
        </xdr:cNvPr>
        <xdr:cNvSpPr/>
      </xdr:nvSpPr>
      <xdr:spPr>
        <a:xfrm>
          <a:off x="266700" y="774143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252413</xdr:colOff>
      <xdr:row>3</xdr:row>
      <xdr:rowOff>19046</xdr:rowOff>
    </xdr:from>
    <xdr:to>
      <xdr:col>2</xdr:col>
      <xdr:colOff>566739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0EA2051-ECB1-45EC-9045-8AD4347A0E9E}"/>
            </a:ext>
          </a:extLst>
        </xdr:cNvPr>
        <xdr:cNvSpPr/>
      </xdr:nvSpPr>
      <xdr:spPr>
        <a:xfrm>
          <a:off x="252413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0CB2E5D-5EB5-4919-8CDB-3036235D4DEE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86D79FA6-4AEC-4AFB-BB00-3DD640D1D6E9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30-11-2025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ED398441-6021-4F0A-B8F4-36244698B6AD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01-11-2025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9667946-376D-40FC-8C76-447FBAA849BF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3CD9C15-4FF4-4CB9-8B37-0648740C0B39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84AA7D35-52CC-44F7-803D-D35C65C4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653917C-9210-46FC-A291-D1610A0FB83C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A793AFD1-3178-42DA-8E93-10C63524A8AC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Nov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82818BC-3B82-47BD-9C14-519E7873B1D9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0D02745-7A0C-42CA-8563-30B677C1616B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58F6B02-414A-40C3-B623-BAC18C295A9E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A17FE24-2DFE-4AAD-8BE5-2FAB4C489F9F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7143</xdr:rowOff>
    </xdr:from>
    <xdr:to>
      <xdr:col>3</xdr:col>
      <xdr:colOff>35719</xdr:colOff>
      <xdr:row>43</xdr:row>
      <xdr:rowOff>166686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3D0850C-AFB3-46A3-B9C9-A89754EE52C4}"/>
            </a:ext>
          </a:extLst>
        </xdr:cNvPr>
        <xdr:cNvSpPr/>
      </xdr:nvSpPr>
      <xdr:spPr>
        <a:xfrm>
          <a:off x="19050" y="7143"/>
          <a:ext cx="1845469" cy="8360568"/>
        </a:xfrm>
        <a:prstGeom prst="rect">
          <a:avLst/>
        </a:prstGeom>
        <a:solidFill>
          <a:schemeClr val="tx1"/>
        </a:solidFill>
        <a:ln w="38100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6</xdr:row>
      <xdr:rowOff>92867</xdr:rowOff>
    </xdr:from>
    <xdr:to>
      <xdr:col>2</xdr:col>
      <xdr:colOff>581025</xdr:colOff>
      <xdr:row>8</xdr:row>
      <xdr:rowOff>130967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7E3156-795F-44FA-9149-2C64806002E1}"/>
            </a:ext>
          </a:extLst>
        </xdr:cNvPr>
        <xdr:cNvSpPr/>
      </xdr:nvSpPr>
      <xdr:spPr>
        <a:xfrm>
          <a:off x="266700" y="124539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February</a:t>
          </a:r>
        </a:p>
      </xdr:txBody>
    </xdr:sp>
    <xdr:clientData/>
  </xdr:twoCellAnchor>
  <xdr:twoCellAnchor>
    <xdr:from>
      <xdr:col>0</xdr:col>
      <xdr:colOff>266700</xdr:colOff>
      <xdr:row>9</xdr:row>
      <xdr:rowOff>175733</xdr:rowOff>
    </xdr:from>
    <xdr:to>
      <xdr:col>2</xdr:col>
      <xdr:colOff>581025</xdr:colOff>
      <xdr:row>12</xdr:row>
      <xdr:rowOff>23333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6B673D-7FE6-40FD-BCBF-A6A01CCBCD8F}"/>
            </a:ext>
          </a:extLst>
        </xdr:cNvPr>
        <xdr:cNvSpPr/>
      </xdr:nvSpPr>
      <xdr:spPr>
        <a:xfrm>
          <a:off x="266700" y="1899758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March</a:t>
          </a:r>
        </a:p>
      </xdr:txBody>
    </xdr:sp>
    <xdr:clientData/>
  </xdr:twoCellAnchor>
  <xdr:twoCellAnchor>
    <xdr:from>
      <xdr:col>0</xdr:col>
      <xdr:colOff>266700</xdr:colOff>
      <xdr:row>13</xdr:row>
      <xdr:rowOff>68099</xdr:rowOff>
    </xdr:from>
    <xdr:to>
      <xdr:col>2</xdr:col>
      <xdr:colOff>581025</xdr:colOff>
      <xdr:row>15</xdr:row>
      <xdr:rowOff>106199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9F29D8-19A7-4EE1-B43C-8BCD86844853}"/>
            </a:ext>
          </a:extLst>
        </xdr:cNvPr>
        <xdr:cNvSpPr/>
      </xdr:nvSpPr>
      <xdr:spPr>
        <a:xfrm>
          <a:off x="266700" y="2554124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April</a:t>
          </a:r>
        </a:p>
      </xdr:txBody>
    </xdr:sp>
    <xdr:clientData/>
  </xdr:twoCellAnchor>
  <xdr:twoCellAnchor>
    <xdr:from>
      <xdr:col>0</xdr:col>
      <xdr:colOff>266700</xdr:colOff>
      <xdr:row>16</xdr:row>
      <xdr:rowOff>150965</xdr:rowOff>
    </xdr:from>
    <xdr:to>
      <xdr:col>2</xdr:col>
      <xdr:colOff>581025</xdr:colOff>
      <xdr:row>18</xdr:row>
      <xdr:rowOff>189065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D1B0176-52A9-4D99-A03B-8B15DD3D570B}"/>
            </a:ext>
          </a:extLst>
        </xdr:cNvPr>
        <xdr:cNvSpPr/>
      </xdr:nvSpPr>
      <xdr:spPr>
        <a:xfrm>
          <a:off x="266700" y="3208490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May</a:t>
          </a:r>
        </a:p>
      </xdr:txBody>
    </xdr:sp>
    <xdr:clientData/>
  </xdr:twoCellAnchor>
  <xdr:twoCellAnchor>
    <xdr:from>
      <xdr:col>0</xdr:col>
      <xdr:colOff>266700</xdr:colOff>
      <xdr:row>20</xdr:row>
      <xdr:rowOff>43331</xdr:rowOff>
    </xdr:from>
    <xdr:to>
      <xdr:col>2</xdr:col>
      <xdr:colOff>581025</xdr:colOff>
      <xdr:row>22</xdr:row>
      <xdr:rowOff>81431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65A34B-0B12-4EDE-9647-C1954508CA9C}"/>
            </a:ext>
          </a:extLst>
        </xdr:cNvPr>
        <xdr:cNvSpPr/>
      </xdr:nvSpPr>
      <xdr:spPr>
        <a:xfrm>
          <a:off x="266700" y="3862856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June</a:t>
          </a:r>
        </a:p>
      </xdr:txBody>
    </xdr:sp>
    <xdr:clientData/>
  </xdr:twoCellAnchor>
  <xdr:twoCellAnchor>
    <xdr:from>
      <xdr:col>0</xdr:col>
      <xdr:colOff>266700</xdr:colOff>
      <xdr:row>23</xdr:row>
      <xdr:rowOff>126197</xdr:rowOff>
    </xdr:from>
    <xdr:to>
      <xdr:col>2</xdr:col>
      <xdr:colOff>581025</xdr:colOff>
      <xdr:row>25</xdr:row>
      <xdr:rowOff>164297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0F57EB3-88AA-46DF-B669-ACD09378D012}"/>
            </a:ext>
          </a:extLst>
        </xdr:cNvPr>
        <xdr:cNvSpPr/>
      </xdr:nvSpPr>
      <xdr:spPr>
        <a:xfrm>
          <a:off x="266700" y="4517222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July</a:t>
          </a:r>
        </a:p>
      </xdr:txBody>
    </xdr:sp>
    <xdr:clientData/>
  </xdr:twoCellAnchor>
  <xdr:twoCellAnchor>
    <xdr:from>
      <xdr:col>0</xdr:col>
      <xdr:colOff>266700</xdr:colOff>
      <xdr:row>27</xdr:row>
      <xdr:rowOff>18562</xdr:rowOff>
    </xdr:from>
    <xdr:to>
      <xdr:col>2</xdr:col>
      <xdr:colOff>581025</xdr:colOff>
      <xdr:row>29</xdr:row>
      <xdr:rowOff>56662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992775D-7F79-45ED-A2ED-948743027CB9}"/>
            </a:ext>
          </a:extLst>
        </xdr:cNvPr>
        <xdr:cNvSpPr/>
      </xdr:nvSpPr>
      <xdr:spPr>
        <a:xfrm>
          <a:off x="266700" y="5171587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August</a:t>
          </a:r>
        </a:p>
      </xdr:txBody>
    </xdr:sp>
    <xdr:clientData/>
  </xdr:twoCellAnchor>
  <xdr:twoCellAnchor>
    <xdr:from>
      <xdr:col>0</xdr:col>
      <xdr:colOff>266700</xdr:colOff>
      <xdr:row>30</xdr:row>
      <xdr:rowOff>89524</xdr:rowOff>
    </xdr:from>
    <xdr:to>
      <xdr:col>2</xdr:col>
      <xdr:colOff>581025</xdr:colOff>
      <xdr:row>32</xdr:row>
      <xdr:rowOff>127624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0800002-BF39-4BAF-92B6-5CE13208092F}"/>
            </a:ext>
          </a:extLst>
        </xdr:cNvPr>
        <xdr:cNvSpPr/>
      </xdr:nvSpPr>
      <xdr:spPr>
        <a:xfrm>
          <a:off x="266700" y="5814049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September</a:t>
          </a:r>
        </a:p>
      </xdr:txBody>
    </xdr:sp>
    <xdr:clientData/>
  </xdr:twoCellAnchor>
  <xdr:twoCellAnchor>
    <xdr:from>
      <xdr:col>0</xdr:col>
      <xdr:colOff>266700</xdr:colOff>
      <xdr:row>33</xdr:row>
      <xdr:rowOff>160486</xdr:rowOff>
    </xdr:from>
    <xdr:to>
      <xdr:col>2</xdr:col>
      <xdr:colOff>581025</xdr:colOff>
      <xdr:row>36</xdr:row>
      <xdr:rowOff>8086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57877CF-CE12-4EC5-864F-F997E9C4AB4A}"/>
            </a:ext>
          </a:extLst>
        </xdr:cNvPr>
        <xdr:cNvSpPr/>
      </xdr:nvSpPr>
      <xdr:spPr>
        <a:xfrm>
          <a:off x="266700" y="6456511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October</a:t>
          </a:r>
        </a:p>
      </xdr:txBody>
    </xdr:sp>
    <xdr:clientData/>
  </xdr:twoCellAnchor>
  <xdr:twoCellAnchor>
    <xdr:from>
      <xdr:col>3</xdr:col>
      <xdr:colOff>9524</xdr:colOff>
      <xdr:row>0</xdr:row>
      <xdr:rowOff>7143</xdr:rowOff>
    </xdr:from>
    <xdr:to>
      <xdr:col>41</xdr:col>
      <xdr:colOff>0</xdr:colOff>
      <xdr:row>1</xdr:row>
      <xdr:rowOff>180974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2DC93ED-F836-450B-BA75-43E592E777F1}"/>
            </a:ext>
          </a:extLst>
        </xdr:cNvPr>
        <xdr:cNvSpPr/>
      </xdr:nvSpPr>
      <xdr:spPr>
        <a:xfrm>
          <a:off x="1838324" y="7143"/>
          <a:ext cx="19402426" cy="36433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37</xdr:row>
      <xdr:rowOff>40948</xdr:rowOff>
    </xdr:from>
    <xdr:to>
      <xdr:col>2</xdr:col>
      <xdr:colOff>581025</xdr:colOff>
      <xdr:row>39</xdr:row>
      <xdr:rowOff>79048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96FD04D-16DC-4C6D-8562-19B494F81468}"/>
            </a:ext>
          </a:extLst>
        </xdr:cNvPr>
        <xdr:cNvSpPr/>
      </xdr:nvSpPr>
      <xdr:spPr>
        <a:xfrm>
          <a:off x="266700" y="7098973"/>
          <a:ext cx="1533525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November</a:t>
          </a:r>
        </a:p>
      </xdr:txBody>
    </xdr:sp>
    <xdr:clientData/>
  </xdr:twoCellAnchor>
  <xdr:twoCellAnchor>
    <xdr:from>
      <xdr:col>1</xdr:col>
      <xdr:colOff>123825</xdr:colOff>
      <xdr:row>40</xdr:row>
      <xdr:rowOff>111912</xdr:rowOff>
    </xdr:from>
    <xdr:to>
      <xdr:col>3</xdr:col>
      <xdr:colOff>438150</xdr:colOff>
      <xdr:row>42</xdr:row>
      <xdr:rowOff>150012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06D62E8-49DF-4D4E-AB48-2D302B22E866}"/>
            </a:ext>
          </a:extLst>
        </xdr:cNvPr>
        <xdr:cNvSpPr/>
      </xdr:nvSpPr>
      <xdr:spPr>
        <a:xfrm>
          <a:off x="733425" y="7741437"/>
          <a:ext cx="1533525" cy="4191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December</a:t>
          </a:r>
        </a:p>
      </xdr:txBody>
    </xdr:sp>
    <xdr:clientData/>
  </xdr:twoCellAnchor>
  <xdr:twoCellAnchor>
    <xdr:from>
      <xdr:col>0</xdr:col>
      <xdr:colOff>242888</xdr:colOff>
      <xdr:row>3</xdr:row>
      <xdr:rowOff>19046</xdr:rowOff>
    </xdr:from>
    <xdr:to>
      <xdr:col>2</xdr:col>
      <xdr:colOff>557214</xdr:colOff>
      <xdr:row>5</xdr:row>
      <xdr:rowOff>57146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A8EB3E-1570-4D22-A29B-B549A2C4B0FA}"/>
            </a:ext>
          </a:extLst>
        </xdr:cNvPr>
        <xdr:cNvSpPr/>
      </xdr:nvSpPr>
      <xdr:spPr>
        <a:xfrm>
          <a:off x="242888" y="590546"/>
          <a:ext cx="1533526" cy="4191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cap="none" spc="0">
              <a:ln w="9525">
                <a:solidFill>
                  <a:schemeClr val="tx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</a:p>
      </xdr:txBody>
    </xdr:sp>
    <xdr:clientData/>
  </xdr:twoCellAnchor>
  <xdr:twoCellAnchor>
    <xdr:from>
      <xdr:col>3</xdr:col>
      <xdr:colOff>211930</xdr:colOff>
      <xdr:row>0</xdr:row>
      <xdr:rowOff>92869</xdr:rowOff>
    </xdr:from>
    <xdr:to>
      <xdr:col>4</xdr:col>
      <xdr:colOff>209550</xdr:colOff>
      <xdr:row>1</xdr:row>
      <xdr:rowOff>114301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E3666F48-FF09-4340-BAC6-D365D64853EB}"/>
            </a:ext>
          </a:extLst>
        </xdr:cNvPr>
        <xdr:cNvSpPr/>
      </xdr:nvSpPr>
      <xdr:spPr>
        <a:xfrm>
          <a:off x="2040730" y="92869"/>
          <a:ext cx="607220" cy="211932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FROM</a:t>
          </a:r>
        </a:p>
      </xdr:txBody>
    </xdr:sp>
    <xdr:clientData/>
  </xdr:twoCellAnchor>
  <xdr:twoCellAnchor>
    <xdr:from>
      <xdr:col>7</xdr:col>
      <xdr:colOff>43656</xdr:colOff>
      <xdr:row>0</xdr:row>
      <xdr:rowOff>95250</xdr:rowOff>
    </xdr:from>
    <xdr:to>
      <xdr:col>7</xdr:col>
      <xdr:colOff>923926</xdr:colOff>
      <xdr:row>1</xdr:row>
      <xdr:rowOff>142875</xdr:rowOff>
    </xdr:to>
    <xdr:sp macro="" textlink="$L$4">
      <xdr:nvSpPr>
        <xdr:cNvPr id="17" name="Rectangle: Rounded Corners 16">
          <a:extLst>
            <a:ext uri="{FF2B5EF4-FFF2-40B4-BE49-F238E27FC236}">
              <a16:creationId xmlns:a16="http://schemas.microsoft.com/office/drawing/2014/main" id="{ADEBA3BC-CB71-495E-9508-6FE506C32087}"/>
            </a:ext>
          </a:extLst>
        </xdr:cNvPr>
        <xdr:cNvSpPr/>
      </xdr:nvSpPr>
      <xdr:spPr>
        <a:xfrm>
          <a:off x="4082256" y="95250"/>
          <a:ext cx="880270" cy="238125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FC3E45C-F01C-4F0E-8607-9B98FA974A9E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31-12-2025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243679</xdr:colOff>
      <xdr:row>0</xdr:row>
      <xdr:rowOff>83343</xdr:rowOff>
    </xdr:from>
    <xdr:to>
      <xdr:col>5</xdr:col>
      <xdr:colOff>552450</xdr:colOff>
      <xdr:row>1</xdr:row>
      <xdr:rowOff>123825</xdr:rowOff>
    </xdr:to>
    <xdr:sp macro="" textlink="$H$4">
      <xdr:nvSpPr>
        <xdr:cNvPr id="18" name="Rectangle: Rounded Corners 17">
          <a:extLst>
            <a:ext uri="{FF2B5EF4-FFF2-40B4-BE49-F238E27FC236}">
              <a16:creationId xmlns:a16="http://schemas.microsoft.com/office/drawing/2014/main" id="{2991644C-C63F-4AE2-BC99-F4325BA9AF02}"/>
            </a:ext>
          </a:extLst>
        </xdr:cNvPr>
        <xdr:cNvSpPr/>
      </xdr:nvSpPr>
      <xdr:spPr>
        <a:xfrm>
          <a:off x="2682079" y="83343"/>
          <a:ext cx="918371" cy="230982"/>
        </a:xfrm>
        <a:prstGeom prst="round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451B6C-420B-4144-A32A-5F2E6838F614}" type="TxLink">
            <a:rPr lang="en-US" sz="1100" b="0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algn="ctr"/>
            <a:t>01-12-2025</a:t>
          </a:fld>
          <a:endParaRPr lang="en-IN" sz="8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2380</xdr:colOff>
      <xdr:row>0</xdr:row>
      <xdr:rowOff>83343</xdr:rowOff>
    </xdr:from>
    <xdr:to>
      <xdr:col>6</xdr:col>
      <xdr:colOff>352425</xdr:colOff>
      <xdr:row>1</xdr:row>
      <xdr:rowOff>133350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65A452D-142B-4536-B969-9D0C820B093A}"/>
            </a:ext>
          </a:extLst>
        </xdr:cNvPr>
        <xdr:cNvSpPr/>
      </xdr:nvSpPr>
      <xdr:spPr>
        <a:xfrm>
          <a:off x="3659980" y="83343"/>
          <a:ext cx="350045" cy="240507"/>
        </a:xfrm>
        <a:prstGeom prst="roundRect">
          <a:avLst/>
        </a:prstGeom>
        <a:solidFill>
          <a:srgbClr val="C4C81E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</a:t>
          </a:r>
        </a:p>
      </xdr:txBody>
    </xdr:sp>
    <xdr:clientData/>
  </xdr:twoCellAnchor>
  <xdr:twoCellAnchor>
    <xdr:from>
      <xdr:col>8</xdr:col>
      <xdr:colOff>151606</xdr:colOff>
      <xdr:row>0</xdr:row>
      <xdr:rowOff>26192</xdr:rowOff>
    </xdr:from>
    <xdr:to>
      <xdr:col>15</xdr:col>
      <xdr:colOff>372933</xdr:colOff>
      <xdr:row>1</xdr:row>
      <xdr:rowOff>171449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EE1D792-366D-459D-BAC2-DE30B8E8C4B2}"/>
            </a:ext>
          </a:extLst>
        </xdr:cNvPr>
        <xdr:cNvSpPr/>
      </xdr:nvSpPr>
      <xdr:spPr>
        <a:xfrm>
          <a:off x="5199856" y="26192"/>
          <a:ext cx="4774277" cy="3357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  <a:latin typeface="Georgia" panose="02040502050405020303" pitchFamily="18" charset="0"/>
            </a:rPr>
            <a:t>      Dashboard of the month   </a:t>
          </a:r>
        </a:p>
      </xdr:txBody>
    </xdr:sp>
    <xdr:clientData/>
  </xdr:twoCellAnchor>
  <xdr:twoCellAnchor editAs="oneCell">
    <xdr:from>
      <xdr:col>8</xdr:col>
      <xdr:colOff>171450</xdr:colOff>
      <xdr:row>0</xdr:row>
      <xdr:rowOff>38100</xdr:rowOff>
    </xdr:from>
    <xdr:to>
      <xdr:col>8</xdr:col>
      <xdr:colOff>476250</xdr:colOff>
      <xdr:row>1</xdr:row>
      <xdr:rowOff>152400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2F72138A-D85C-4B06-B2F5-91681421B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19700" y="38100"/>
          <a:ext cx="304800" cy="304800"/>
        </a:xfrm>
        <a:prstGeom prst="rect">
          <a:avLst/>
        </a:prstGeom>
      </xdr:spPr>
    </xdr:pic>
    <xdr:clientData/>
  </xdr:twoCellAnchor>
  <xdr:twoCellAnchor>
    <xdr:from>
      <xdr:col>11</xdr:col>
      <xdr:colOff>876300</xdr:colOff>
      <xdr:row>0</xdr:row>
      <xdr:rowOff>57150</xdr:rowOff>
    </xdr:from>
    <xdr:to>
      <xdr:col>15</xdr:col>
      <xdr:colOff>314325</xdr:colOff>
      <xdr:row>1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7D9FEB8-A8A0-483C-B9DD-B28B1F70A4A4}"/>
            </a:ext>
          </a:extLst>
        </xdr:cNvPr>
        <xdr:cNvSpPr/>
      </xdr:nvSpPr>
      <xdr:spPr>
        <a:xfrm>
          <a:off x="8239125" y="57150"/>
          <a:ext cx="16764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866776</xdr:colOff>
      <xdr:row>0</xdr:row>
      <xdr:rowOff>47625</xdr:rowOff>
    </xdr:from>
    <xdr:to>
      <xdr:col>13</xdr:col>
      <xdr:colOff>133351</xdr:colOff>
      <xdr:row>1</xdr:row>
      <xdr:rowOff>152400</xdr:rowOff>
    </xdr:to>
    <xdr:sp macro="" textlink="J$4">
      <xdr:nvSpPr>
        <xdr:cNvPr id="23" name="Rectangle 22">
          <a:extLst>
            <a:ext uri="{FF2B5EF4-FFF2-40B4-BE49-F238E27FC236}">
              <a16:creationId xmlns:a16="http://schemas.microsoft.com/office/drawing/2014/main" id="{43FA3E4D-E7AC-40A6-8E50-4EA9E33E36AF}"/>
            </a:ext>
          </a:extLst>
        </xdr:cNvPr>
        <xdr:cNvSpPr/>
      </xdr:nvSpPr>
      <xdr:spPr>
        <a:xfrm>
          <a:off x="8229601" y="47625"/>
          <a:ext cx="6096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9C229AB-DDC8-4209-ACF2-50ECED3A2C16}" type="TxLink">
            <a:rPr lang="en-US" sz="1600" b="1" i="0" u="none" strike="noStrike">
              <a:solidFill>
                <a:srgbClr val="C00000"/>
              </a:solidFill>
              <a:latin typeface="Times New Roman"/>
              <a:cs typeface="Times New Roman"/>
            </a:rPr>
            <a:pPr algn="l"/>
            <a:t>Dec</a:t>
          </a:fld>
          <a:endParaRPr lang="en-IN" sz="16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438149</xdr:colOff>
      <xdr:row>0</xdr:row>
      <xdr:rowOff>57150</xdr:rowOff>
    </xdr:from>
    <xdr:to>
      <xdr:col>18</xdr:col>
      <xdr:colOff>47625</xdr:colOff>
      <xdr:row>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23EE556-C4EC-416C-B92F-32AE554941E6}"/>
            </a:ext>
          </a:extLst>
        </xdr:cNvPr>
        <xdr:cNvSpPr/>
      </xdr:nvSpPr>
      <xdr:spPr>
        <a:xfrm>
          <a:off x="10039349" y="57150"/>
          <a:ext cx="952501" cy="28575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   </a:t>
          </a:r>
          <a:r>
            <a:rPr lang="en-US" sz="1100" b="1"/>
            <a:t>Present</a:t>
          </a:r>
          <a:endParaRPr lang="en-IN" sz="1100" b="1"/>
        </a:p>
      </xdr:txBody>
    </xdr:sp>
    <xdr:clientData/>
  </xdr:twoCellAnchor>
  <xdr:twoCellAnchor>
    <xdr:from>
      <xdr:col>17</xdr:col>
      <xdr:colOff>438150</xdr:colOff>
      <xdr:row>0</xdr:row>
      <xdr:rowOff>66675</xdr:rowOff>
    </xdr:from>
    <xdr:to>
      <xdr:col>20</xdr:col>
      <xdr:colOff>47625</xdr:colOff>
      <xdr:row>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965709A-D301-4157-B79A-EA8E6B4378F6}"/>
            </a:ext>
          </a:extLst>
        </xdr:cNvPr>
        <xdr:cNvSpPr/>
      </xdr:nvSpPr>
      <xdr:spPr>
        <a:xfrm>
          <a:off x="10934700" y="66675"/>
          <a:ext cx="952500" cy="25717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  <a:r>
            <a:rPr lang="en-US" sz="1100" b="1"/>
            <a:t>🔴</a:t>
          </a:r>
          <a:r>
            <a:rPr lang="en-IN" sz="1100" b="1"/>
            <a:t>   Absent</a:t>
          </a:r>
        </a:p>
      </xdr:txBody>
    </xdr:sp>
    <xdr:clientData/>
  </xdr:twoCellAnchor>
  <xdr:twoCellAnchor>
    <xdr:from>
      <xdr:col>19</xdr:col>
      <xdr:colOff>428625</xdr:colOff>
      <xdr:row>0</xdr:row>
      <xdr:rowOff>66676</xdr:rowOff>
    </xdr:from>
    <xdr:to>
      <xdr:col>21</xdr:col>
      <xdr:colOff>438150</xdr:colOff>
      <xdr:row>1</xdr:row>
      <xdr:rowOff>142876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6B570E0-FC29-4892-93A4-629A30E0C6D2}"/>
            </a:ext>
          </a:extLst>
        </xdr:cNvPr>
        <xdr:cNvSpPr/>
      </xdr:nvSpPr>
      <xdr:spPr>
        <a:xfrm>
          <a:off x="11820525" y="66676"/>
          <a:ext cx="90487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⚪  </a:t>
          </a:r>
          <a:r>
            <a:rPr lang="en-US" sz="1100" b="1"/>
            <a:t>Leave</a:t>
          </a:r>
          <a:endParaRPr lang="en-IN" sz="1100" b="1"/>
        </a:p>
      </xdr:txBody>
    </xdr:sp>
    <xdr:clientData/>
  </xdr:twoCellAnchor>
  <xdr:twoCellAnchor>
    <xdr:from>
      <xdr:col>43</xdr:col>
      <xdr:colOff>19049</xdr:colOff>
      <xdr:row>0</xdr:row>
      <xdr:rowOff>9525</xdr:rowOff>
    </xdr:from>
    <xdr:to>
      <xdr:col>58</xdr:col>
      <xdr:colOff>9524</xdr:colOff>
      <xdr:row>2</xdr:row>
      <xdr:rowOff>9525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37DE32D-B079-4D5C-B8BC-C91EE11BB766}"/>
            </a:ext>
          </a:extLst>
        </xdr:cNvPr>
        <xdr:cNvSpPr/>
      </xdr:nvSpPr>
      <xdr:spPr>
        <a:xfrm>
          <a:off x="22478999" y="9525"/>
          <a:ext cx="11420475" cy="381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Monthly</a:t>
          </a:r>
          <a:r>
            <a:rPr lang="en-IN" sz="1800" b="1" baseline="0">
              <a:solidFill>
                <a:schemeClr val="bg1"/>
              </a:solidFill>
            </a:rPr>
            <a:t> Report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08123-6203-40F1-AEB9-EF5B004DABCA}" name="Janrepo" displayName="Janrepo" ref="AR8:BE28" totalsRowShown="0" headerRowDxfId="298" dataDxfId="297" tableBorderDxfId="296">
  <autoFilter ref="AR8:BE28" xr:uid="{EA908123-6203-40F1-AEB9-EF5B004DAB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6CE5EBC-8C65-40DF-B306-2B70EE664F1C}" name="Sr. no." dataDxfId="295"/>
    <tableColumn id="2" xr3:uid="{7FD3401B-80EB-4C93-93D7-ABB4FA9A5DCC}" name="Emp Id" dataDxfId="294"/>
    <tableColumn id="3" xr3:uid="{412AD9AB-A9DB-4795-8375-20B8EAA14C70}" name="Emp Name" dataDxfId="293"/>
    <tableColumn id="14" xr3:uid="{59267E85-B8DD-4394-A3FA-192260AF1D24}" name="Month" dataDxfId="292">
      <calculatedColumnFormula>$J$4</calculatedColumnFormula>
    </tableColumn>
    <tableColumn id="4" xr3:uid="{CD1A376F-3D3E-489C-81DB-DB79FFCE35F8}" name="Present" dataDxfId="291">
      <calculatedColumnFormula>COUNTIF($K9:$AO9,"P")</calculatedColumnFormula>
    </tableColumn>
    <tableColumn id="5" xr3:uid="{6BED901B-5FD0-4557-9D2A-F6DA15DDF7D1}" name="Absent" dataDxfId="290">
      <calculatedColumnFormula>COUNTIF($K9:$AO9,"A")</calculatedColumnFormula>
    </tableColumn>
    <tableColumn id="6" xr3:uid="{026C1121-74D3-4044-9E58-2448ECFAFE30}" name="Leave" dataDxfId="289">
      <calculatedColumnFormula>COUNTIF($K9:$AO$9,"L")</calculatedColumnFormula>
    </tableColumn>
    <tableColumn id="7" xr3:uid="{EEFBF13D-0AEF-4BF6-BD34-D39920185F3D}" name="Weekoff" dataDxfId="288">
      <calculatedColumnFormula>$J$9</calculatedColumnFormula>
    </tableColumn>
    <tableColumn id="8" xr3:uid="{080D0B1A-6D33-4451-BF36-4F70F9B1492C}" name="Days" dataDxfId="287">
      <calculatedColumnFormula>$I$4</calculatedColumnFormula>
    </tableColumn>
    <tableColumn id="9" xr3:uid="{6037E6A6-010D-4EE9-B38D-A4C07BF8C88E}" name="Paid Days" dataDxfId="286">
      <calculatedColumnFormula>(Janrepo[[#This Row],[Days]]-Janrepo[[#This Row],[Absent]])</calculatedColumnFormula>
    </tableColumn>
    <tableColumn id="10" xr3:uid="{6F3C30C9-7D47-43FF-9A48-793E586302A9}" name="Salary" dataDxfId="285">
      <calculatedColumnFormula>RANDBETWEEN(10000,25000)</calculatedColumnFormula>
    </tableColumn>
    <tableColumn id="11" xr3:uid="{7AF6DDEF-F3C9-4309-874C-6EB235C14430}" name="Paid Days Salary" dataDxfId="284">
      <calculatedColumnFormula>(Janrepo[[#This Row],[Salary]]/Janrepo[[#This Row],[Paid Days]])</calculatedColumnFormula>
    </tableColumn>
    <tableColumn id="12" xr3:uid="{25E73655-5439-40A7-AE3D-127ECF9060F2}" name="Deduction" dataDxfId="283">
      <calculatedColumnFormula>Janrepo[[#This Row],[Paid Days Salary]]*Janrepo[[#This Row],[Absent]]</calculatedColumnFormula>
    </tableColumn>
    <tableColumn id="13" xr3:uid="{074AFA8E-38C6-416A-9AA5-03A6AE130B95}" name="Total Salary" dataDxfId="282">
      <calculatedColumnFormula>(Janrepo[[#This Row],[Salary]]-Janrepo[[#This Row],[Deduction]])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B104758-2CBE-47C8-9357-4F504A321365}" name="febrepo" displayName="febrepo" ref="AR8:BE28" totalsRowShown="0" headerRowDxfId="281" dataDxfId="280" tableBorderDxfId="279">
  <autoFilter ref="AR8:BE28" xr:uid="{EA908123-6203-40F1-AEB9-EF5B004DAB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99486CD-DB8C-4471-98F0-3C1CEB18C963}" name="Sr. no." dataDxfId="278"/>
    <tableColumn id="2" xr3:uid="{EA356950-F43A-4F4C-8C1C-4CC9323C5954}" name="Emp Id" dataDxfId="277"/>
    <tableColumn id="3" xr3:uid="{1B4C4588-AFD1-4F94-909E-6F435A107968}" name="Emp Name" dataDxfId="276"/>
    <tableColumn id="14" xr3:uid="{B864DBC4-72FC-4AD9-AE97-45338492FFA4}" name="Month" dataDxfId="275">
      <calculatedColumnFormula>$J$4</calculatedColumnFormula>
    </tableColumn>
    <tableColumn id="4" xr3:uid="{FC077ACB-3651-4E90-AA59-C71A09E9E355}" name="Present" dataDxfId="274">
      <calculatedColumnFormula>COUNTIF($K9:$AO9,"P")</calculatedColumnFormula>
    </tableColumn>
    <tableColumn id="5" xr3:uid="{FAF590B8-60CC-4AFE-844E-0F7964B861F4}" name="Absent" dataDxfId="273">
      <calculatedColumnFormula>COUNTIF($K9:$AO9,"A")</calculatedColumnFormula>
    </tableColumn>
    <tableColumn id="6" xr3:uid="{80796992-061A-438B-BBFC-E4B822FD757D}" name="Leave" dataDxfId="272">
      <calculatedColumnFormula>COUNTIF(K$9:AO$9,"L")</calculatedColumnFormula>
    </tableColumn>
    <tableColumn id="7" xr3:uid="{BD954646-F180-41E4-98B3-478EB04C0F9F}" name="Weekoff" dataDxfId="271">
      <calculatedColumnFormula>$J$9</calculatedColumnFormula>
    </tableColumn>
    <tableColumn id="8" xr3:uid="{7E2C77E7-8F2B-422E-A407-E96A1A9C7B48}" name="Days" dataDxfId="270">
      <calculatedColumnFormula>$I$4</calculatedColumnFormula>
    </tableColumn>
    <tableColumn id="9" xr3:uid="{B2DF9F0B-EE3D-4158-853F-8CB69FB6690A}" name="Paid Days" dataDxfId="269">
      <calculatedColumnFormula>(febrepo[[#This Row],[Days]]-febrepo[[#This Row],[Absent]])</calculatedColumnFormula>
    </tableColumn>
    <tableColumn id="10" xr3:uid="{A7836719-7988-466F-AE6B-61AFFA03E5BA}" name="Salary" dataDxfId="268">
      <calculatedColumnFormula>RANDBETWEEN(10000,25000)</calculatedColumnFormula>
    </tableColumn>
    <tableColumn id="11" xr3:uid="{E2F71753-9D30-4DFF-A67D-DD8D8C100F72}" name="Paid Days Salary" dataDxfId="267">
      <calculatedColumnFormula>(febrepo[[#This Row],[Salary]]/febrepo[[#This Row],[Paid Days]])</calculatedColumnFormula>
    </tableColumn>
    <tableColumn id="12" xr3:uid="{818213DA-2AA7-4C70-9376-844223725515}" name="Deduction" dataDxfId="266">
      <calculatedColumnFormula>febrepo[[#This Row],[Paid Days Salary]]*febrepo[[#This Row],[Absent]]</calculatedColumnFormula>
    </tableColumn>
    <tableColumn id="13" xr3:uid="{5D58DCBD-F7D7-47D4-903C-C93036C7D348}" name="Total Salary" dataDxfId="265">
      <calculatedColumnFormula>febrepo[[#This Row],[Salary]]-febrepo[[#This Row],[Deduction]]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36519-D8D6-4370-8487-74FDA2E263CD}" name="marrepo" displayName="marrepo" ref="AR8:BE28" totalsRowShown="0" headerRowDxfId="264" dataDxfId="263" tableBorderDxfId="262">
  <autoFilter ref="AR8:BE28" xr:uid="{00036519-D8D6-4370-8487-74FDA2E263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91E6335-3A0E-4ED3-88A1-418545C25A8D}" name="Sr. no." dataDxfId="261"/>
    <tableColumn id="2" xr3:uid="{75E831E6-421A-4B65-BB33-00F89237C799}" name="Emp Id" dataDxfId="260"/>
    <tableColumn id="3" xr3:uid="{99AA7C34-56A5-4617-8017-3117348A29D7}" name="Emp Name" dataDxfId="259"/>
    <tableColumn id="14" xr3:uid="{6C169D05-4A19-4DB1-8004-BC54BEEED877}" name="Month" dataDxfId="258">
      <calculatedColumnFormula>$J$4</calculatedColumnFormula>
    </tableColumn>
    <tableColumn id="4" xr3:uid="{471712FA-2594-4169-9FB3-4A2A51538DBC}" name="Present" dataDxfId="257">
      <calculatedColumnFormula>COUNTIF($K9:$AO9,"P")</calculatedColumnFormula>
    </tableColumn>
    <tableColumn id="5" xr3:uid="{089854A8-FD5B-480B-94F9-5B1DF83EF8A0}" name="Absent" dataDxfId="256">
      <calculatedColumnFormula>COUNTIF($K9:$AO9,"A")</calculatedColumnFormula>
    </tableColumn>
    <tableColumn id="6" xr3:uid="{D58D05D0-4015-4FD8-B5D5-6107EFFD986F}" name="Leave" dataDxfId="255">
      <calculatedColumnFormula>COUNTIF($K9:$AO9,"L")</calculatedColumnFormula>
    </tableColumn>
    <tableColumn id="7" xr3:uid="{27D7A053-E08E-42EF-8502-DFF9F09BC62B}" name="Weekoff" dataDxfId="254">
      <calculatedColumnFormula>$J$9</calculatedColumnFormula>
    </tableColumn>
    <tableColumn id="8" xr3:uid="{1190B57C-529F-4190-93E1-80808FE5217A}" name="Days" dataDxfId="253">
      <calculatedColumnFormula>$I$4</calculatedColumnFormula>
    </tableColumn>
    <tableColumn id="9" xr3:uid="{0BEEA681-E2E9-4EBF-8B8A-B8748A5EA046}" name="Paid Days" dataDxfId="252">
      <calculatedColumnFormula>(marrepo[[#This Row],[Days]]-marrepo[[#This Row],[Absent]])</calculatedColumnFormula>
    </tableColumn>
    <tableColumn id="10" xr3:uid="{30302CC3-626A-4096-AC37-77DD660A9E8C}" name="Salary" dataDxfId="251">
      <calculatedColumnFormula>RANDBETWEEN(10000,25000)</calculatedColumnFormula>
    </tableColumn>
    <tableColumn id="11" xr3:uid="{10E9DA77-4269-4782-A71D-E03580D40E34}" name="Paid Days Salary" dataDxfId="250">
      <calculatedColumnFormula>(marrepo[[#This Row],[Salary]]/marrepo[[#This Row],[Paid Days]])</calculatedColumnFormula>
    </tableColumn>
    <tableColumn id="12" xr3:uid="{6BEE8042-6057-4C0B-85DF-2B575A917AFA}" name="Deduction" dataDxfId="249">
      <calculatedColumnFormula>marrepo[[#This Row],[Salary]]*marrepo[[#This Row],[Absent]]</calculatedColumnFormula>
    </tableColumn>
    <tableColumn id="13" xr3:uid="{0384C184-427E-4C08-9504-B2A700DEF811}" name="Total Salary" dataDxfId="248">
      <calculatedColumnFormula>marrepo[[#This Row],[Salary]]-marrepo[[#This Row],[Deduction]]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664243C-B296-4EFA-BCB1-9B3D71E0B040}" name="aprrepo" displayName="aprrepo" ref="AR8:BE28" totalsRowShown="0" headerRowDxfId="247" dataDxfId="246" tableBorderDxfId="245">
  <autoFilter ref="AR8:BE28" xr:uid="{5664243C-B296-4EFA-BCB1-9B3D71E0B0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61F463E-C941-48DF-A623-3C18949ED56A}" name="Sr. no." dataDxfId="244"/>
    <tableColumn id="2" xr3:uid="{539AB009-C138-4493-B22F-01A0D850A19B}" name="Emp Id" dataDxfId="243"/>
    <tableColumn id="3" xr3:uid="{3D291FF2-63B4-45A3-A53C-F5530F29DC66}" name="Emp Name" dataDxfId="242"/>
    <tableColumn id="14" xr3:uid="{391047DA-D62A-43D6-BBC5-EA64D3CFE71D}" name="Month" dataDxfId="241">
      <calculatedColumnFormula>$J$4</calculatedColumnFormula>
    </tableColumn>
    <tableColumn id="4" xr3:uid="{4AE99FA9-B0B4-4500-A79F-FD4F51454BD6}" name="Present" dataDxfId="240">
      <calculatedColumnFormula>COUNTIF($K9:$AO9,"P")</calculatedColumnFormula>
    </tableColumn>
    <tableColumn id="5" xr3:uid="{0CB1F885-A4E0-4D2C-89FE-622F51E5A506}" name="Absent" dataDxfId="239">
      <calculatedColumnFormula>COUNTIF($K9:$AO9,"A")</calculatedColumnFormula>
    </tableColumn>
    <tableColumn id="6" xr3:uid="{298D1B2E-872E-4792-B079-C8B3E812C585}" name="Leave" dataDxfId="238">
      <calculatedColumnFormula>COUNTIF($K8:$AO8,"L")</calculatedColumnFormula>
    </tableColumn>
    <tableColumn id="7" xr3:uid="{DE9F31B8-C850-4DEE-8DC9-B3AA649274B6}" name="Weekoff" dataDxfId="237">
      <calculatedColumnFormula>$J$9</calculatedColumnFormula>
    </tableColumn>
    <tableColumn id="8" xr3:uid="{C2B3761A-F751-4447-B089-B0127E5CCCA6}" name="Days" dataDxfId="236">
      <calculatedColumnFormula>$I$4</calculatedColumnFormula>
    </tableColumn>
    <tableColumn id="9" xr3:uid="{41088B92-AA0B-4684-953B-9EA5892B99CB}" name="Paid Days" dataDxfId="235">
      <calculatedColumnFormula>(aprrepo[[#This Row],[Days]]-aprrepo[[#This Row],[Absent]])</calculatedColumnFormula>
    </tableColumn>
    <tableColumn id="10" xr3:uid="{61398CA9-807A-43B3-93D2-2BA930975505}" name="Salary" dataDxfId="234">
      <calculatedColumnFormula>RANDBETWEEN(10000,25000)</calculatedColumnFormula>
    </tableColumn>
    <tableColumn id="11" xr3:uid="{B3008F4D-48B8-4415-A31B-0310636A7C57}" name="Paid Days Salary" dataDxfId="233">
      <calculatedColumnFormula>(aprrepo[[#This Row],[Salary]]/aprrepo[[#This Row],[Paid Days]])</calculatedColumnFormula>
    </tableColumn>
    <tableColumn id="12" xr3:uid="{B54CDF60-1471-425A-9713-C1C46ABDA97D}" name="Deduction" dataDxfId="232">
      <calculatedColumnFormula>aprrepo[[#This Row],[Salary]]*aprrepo[[#This Row],[Absent]]</calculatedColumnFormula>
    </tableColumn>
    <tableColumn id="13" xr3:uid="{E8745093-4ADA-4D5B-9C00-C4190E7E8EAC}" name="Total Salary" dataDxfId="231">
      <calculatedColumnFormula>aprrepo[[#This Row],[Salary]]-aprrepo[[#This Row],[Deduction]]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7B85B64-7A40-4D7C-ACD8-B34F6CD68BC2}" name="mayrepo" displayName="mayrepo" ref="AR8:BE28" totalsRowShown="0" headerRowDxfId="230" dataDxfId="229" tableBorderDxfId="228">
  <autoFilter ref="AR8:BE28" xr:uid="{E7B85B64-7A40-4D7C-ACD8-B34F6CD68B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F9FFC6C-CE50-4E8B-9D9D-3566D944C208}" name="Sr. no." dataDxfId="227"/>
    <tableColumn id="2" xr3:uid="{DC4C3EBB-0171-4EFC-92C9-A3FF3AD2C699}" name="Emp Id" dataDxfId="226"/>
    <tableColumn id="3" xr3:uid="{6BF4D6E9-4298-41A6-8CC7-E6502AECB8FA}" name="Emp Name" dataDxfId="225"/>
    <tableColumn id="14" xr3:uid="{C3B737A4-E818-410D-B504-F2597B8B2DD2}" name="Month" dataDxfId="224">
      <calculatedColumnFormula>$J$4</calculatedColumnFormula>
    </tableColumn>
    <tableColumn id="4" xr3:uid="{3E7674F5-071E-4C90-843A-BAF1515FAF01}" name="Present" dataDxfId="223">
      <calculatedColumnFormula>COUNTIF($K9:$AO9,"P")</calculatedColumnFormula>
    </tableColumn>
    <tableColumn id="5" xr3:uid="{2452D877-8CF3-4871-8A5D-5A4264D5AC86}" name="Absent" dataDxfId="222">
      <calculatedColumnFormula>COUNTIF($K9:$AO9,"L")</calculatedColumnFormula>
    </tableColumn>
    <tableColumn id="6" xr3:uid="{6B03EAFE-2B94-4B73-936E-0A68F9AAC4E0}" name="Leave" dataDxfId="221">
      <calculatedColumnFormula>COUNTIF(M$9:AQ$9,"L")</calculatedColumnFormula>
    </tableColumn>
    <tableColumn id="7" xr3:uid="{751B5504-F587-4B7E-A8FA-9B9ECD117EFD}" name="Weekoff" dataDxfId="220">
      <calculatedColumnFormula>$J$9</calculatedColumnFormula>
    </tableColumn>
    <tableColumn id="8" xr3:uid="{10D938EE-292F-4118-9DBD-FB75698C8D19}" name="Days" dataDxfId="219">
      <calculatedColumnFormula>$I$4</calculatedColumnFormula>
    </tableColumn>
    <tableColumn id="9" xr3:uid="{5EC5D51A-00BE-4E61-995C-0F79936DD463}" name="Paid Days" dataDxfId="218">
      <calculatedColumnFormula>(mayrepo[[#This Row],[Days]]-mayrepo[[#This Row],[Absent]])</calculatedColumnFormula>
    </tableColumn>
    <tableColumn id="10" xr3:uid="{67010500-A112-407D-9D24-77320EC05DD3}" name="Salary" dataDxfId="217">
      <calculatedColumnFormula>RANDBETWEEN(10000,25000)</calculatedColumnFormula>
    </tableColumn>
    <tableColumn id="11" xr3:uid="{B4D5B801-AF98-44E7-99E7-69FEA48D95DE}" name="Paid Days Salary" dataDxfId="216">
      <calculatedColumnFormula>(mayrepo[[#This Row],[Salary]]/mayrepo[[#This Row],[Paid Days]])</calculatedColumnFormula>
    </tableColumn>
    <tableColumn id="12" xr3:uid="{0B479CEC-0F95-416E-B257-7C0218B18DA9}" name="Deduction" dataDxfId="215">
      <calculatedColumnFormula>mayrepo[[#This Row],[Salary]]*mayrepo[[#This Row],[Absent]]</calculatedColumnFormula>
    </tableColumn>
    <tableColumn id="13" xr3:uid="{A5FA7C06-AE74-43B3-8DAD-DF567CF5FADB}" name="Total Salary" dataDxfId="214">
      <calculatedColumnFormula>mayrepo[[#This Row],[Salary]]-mayrepo[[#This Row],[Deduction]]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7DE23D0-5A85-4149-814C-F2BEC6DDC41D}" name="junrepo" displayName="junrepo" ref="AR8:BE28" totalsRowShown="0" headerRowDxfId="213" dataDxfId="212" tableBorderDxfId="211">
  <autoFilter ref="AR8:BE28" xr:uid="{57DE23D0-5A85-4149-814C-F2BEC6DDC4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512A580-4F28-40B6-936A-AF51BBF3C287}" name="Sr. no." dataDxfId="210"/>
    <tableColumn id="2" xr3:uid="{FB5CFB39-E09A-4A88-9B19-DA6B12E4D952}" name="Emp Id" dataDxfId="209"/>
    <tableColumn id="3" xr3:uid="{32F2A49E-3987-4039-964C-69A042C4561B}" name="Emp Name" dataDxfId="208"/>
    <tableColumn id="14" xr3:uid="{3347C63B-5C8D-440D-8CA8-005AB893385C}" name="Month" dataDxfId="207">
      <calculatedColumnFormula>$J$4</calculatedColumnFormula>
    </tableColumn>
    <tableColumn id="4" xr3:uid="{0E7649CD-9406-40B5-9965-E03DF2CA16F9}" name="Present" dataDxfId="206">
      <calculatedColumnFormula>COUNTIF($K9:$AO9,"P")</calculatedColumnFormula>
    </tableColumn>
    <tableColumn id="5" xr3:uid="{9DD7997C-D7EE-4802-AF2E-FB4A09813DAA}" name="Absent" dataDxfId="205">
      <calculatedColumnFormula>COUNTIF($K9:$AO9,"A")</calculatedColumnFormula>
    </tableColumn>
    <tableColumn id="6" xr3:uid="{B7734BA4-42AE-4203-AC53-2D33AC648206}" name="Leave" dataDxfId="204">
      <calculatedColumnFormula>COUNTIF($K9:$AO9,"L")</calculatedColumnFormula>
    </tableColumn>
    <tableColumn id="7" xr3:uid="{8A1EC05C-6A65-4686-854B-2BEF686C0EAB}" name="Weekoff" dataDxfId="203">
      <calculatedColumnFormula>$J$9</calculatedColumnFormula>
    </tableColumn>
    <tableColumn id="8" xr3:uid="{A47EF5BB-8341-4B20-9C7D-0D8B6E894938}" name="Days" dataDxfId="202">
      <calculatedColumnFormula>$I$4</calculatedColumnFormula>
    </tableColumn>
    <tableColumn id="9" xr3:uid="{713123E7-4C7A-460F-A5FD-EDBA9E028463}" name="Paid Days" dataDxfId="201">
      <calculatedColumnFormula>(junrepo[[#This Row],[Days]]-junrepo[[#This Row],[Absent]])</calculatedColumnFormula>
    </tableColumn>
    <tableColumn id="10" xr3:uid="{B920C361-2363-441A-963B-2AE2D2052D57}" name="Salary" dataDxfId="200">
      <calculatedColumnFormula>RANDBETWEEN(10000,25000)</calculatedColumnFormula>
    </tableColumn>
    <tableColumn id="11" xr3:uid="{06C43E0D-9518-454C-B4C9-F5C6ACB6023A}" name="Paid Days Salary" dataDxfId="199">
      <calculatedColumnFormula>(junrepo[[#This Row],[Salary]]/junrepo[[#This Row],[Paid Days]])</calculatedColumnFormula>
    </tableColumn>
    <tableColumn id="12" xr3:uid="{4C742297-4287-4FD8-8F29-334EFFE4E316}" name="Deduction" dataDxfId="198">
      <calculatedColumnFormula>junrepo[[#This Row],[Salary]]*junrepo[[#This Row],[Absent]]</calculatedColumnFormula>
    </tableColumn>
    <tableColumn id="13" xr3:uid="{BECDE4C7-6C6E-40D8-A718-F92DD8BD44B5}" name="Total Salary" dataDxfId="197">
      <calculatedColumnFormula>junrepo[[#This Row],[Salary]]-junrepo[[#This Row],[Deduction]]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EF81116-09D3-4332-9233-CE44DA45F73E}" name="julrepo" displayName="julrepo" ref="AR8:BE28" totalsRowShown="0" headerRowDxfId="196" dataDxfId="195" tableBorderDxfId="194">
  <autoFilter ref="AR8:BE28" xr:uid="{4EF81116-09D3-4332-9233-CE44DA45F7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73FD137-A9DB-49D8-AF0C-B1AF47B1BCBA}" name="Sr. no." dataDxfId="193"/>
    <tableColumn id="2" xr3:uid="{D8EB1947-962A-4C94-B75E-C5852BAEE111}" name="Emp Id" dataDxfId="192"/>
    <tableColumn id="3" xr3:uid="{930538CE-9778-4C94-9FD3-9AA9D7F51AF7}" name="Emp Name" dataDxfId="191"/>
    <tableColumn id="14" xr3:uid="{EA82AC34-A4BD-4609-B07C-C37D8FEECDAD}" name="Month" dataDxfId="190">
      <calculatedColumnFormula>$J$4</calculatedColumnFormula>
    </tableColumn>
    <tableColumn id="4" xr3:uid="{934BA1DB-8ECE-4F78-94F0-3B4AD6EEE6E6}" name="Present" dataDxfId="189">
      <calculatedColumnFormula>COUNTIF($K9:$AO9,"P")</calculatedColumnFormula>
    </tableColumn>
    <tableColumn id="5" xr3:uid="{E47F295E-7EB8-4BD2-9F4F-59971F6B2E63}" name="Absent" dataDxfId="188">
      <calculatedColumnFormula>COUNTIF($K9:$AO9,"A")</calculatedColumnFormula>
    </tableColumn>
    <tableColumn id="6" xr3:uid="{5D931069-9A1E-4626-9EC4-FFC04B3D9CBD}" name="Leave" dataDxfId="187">
      <calculatedColumnFormula>COUNTIF($K9:$AO9,"L")</calculatedColumnFormula>
    </tableColumn>
    <tableColumn id="7" xr3:uid="{CD904547-6692-49A1-A766-3F0E158E9369}" name="Weekoff" dataDxfId="186">
      <calculatedColumnFormula>$J$9</calculatedColumnFormula>
    </tableColumn>
    <tableColumn id="8" xr3:uid="{118FD99F-CD58-4BE3-8CA0-5BE2101BAA98}" name="Days" dataDxfId="185">
      <calculatedColumnFormula>$I$4</calculatedColumnFormula>
    </tableColumn>
    <tableColumn id="9" xr3:uid="{32DDEE8E-9D29-41B3-B4A6-B5A2E5A35EDD}" name="Paid Days" dataDxfId="184">
      <calculatedColumnFormula>(julrepo[[#This Row],[Days]]-julrepo[[#This Row],[Absent]])</calculatedColumnFormula>
    </tableColumn>
    <tableColumn id="10" xr3:uid="{9CCAE8AE-0F57-4E98-987B-89EDC0AA1B81}" name="Salary" dataDxfId="183">
      <calculatedColumnFormula>RANDBETWEEN(10000,25000)</calculatedColumnFormula>
    </tableColumn>
    <tableColumn id="11" xr3:uid="{3A575CD9-7E9C-437E-A733-BCA407D160D5}" name="Paid Days Salary" dataDxfId="182">
      <calculatedColumnFormula>(julrepo[[#This Row],[Salary]]/julrepo[[#This Row],[Paid Days]])</calculatedColumnFormula>
    </tableColumn>
    <tableColumn id="12" xr3:uid="{44F3E44C-D156-4A41-AC32-BFBAED5C4B0E}" name="Deduction" dataDxfId="181">
      <calculatedColumnFormula>julrepo[[#This Row],[Salary]]*julrepo[[#This Row],[Absent]]</calculatedColumnFormula>
    </tableColumn>
    <tableColumn id="13" xr3:uid="{E425C232-C16D-4292-BD99-497F13935474}" name="Total Salary" dataDxfId="180">
      <calculatedColumnFormula>julrepo[[#This Row],[Salary]]-julrepo[[#This Row],[Deduction]]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111764B-551F-4200-B319-0B455D3C15A1}" name="augrepo" displayName="augrepo" ref="AR8:BE28" totalsRowShown="0" headerRowDxfId="179" dataDxfId="178" tableBorderDxfId="177">
  <autoFilter ref="AR8:BE28" xr:uid="{A111764B-551F-4200-B319-0B455D3C15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6EB0A37-86B4-4957-BDA9-1953251BE0A5}" name="Sr. no." dataDxfId="176"/>
    <tableColumn id="2" xr3:uid="{26DDC051-BD16-40AF-B7A1-77DA7E3FC706}" name="Emp Id" dataDxfId="175"/>
    <tableColumn id="3" xr3:uid="{C8F53CE2-A39A-4B02-8306-651A11634425}" name="Emp Name" dataDxfId="174"/>
    <tableColumn id="14" xr3:uid="{EB4E1C7B-ECBE-4FE3-A725-0CA1832860A7}" name="Month" dataDxfId="173">
      <calculatedColumnFormula>$J$4</calculatedColumnFormula>
    </tableColumn>
    <tableColumn id="4" xr3:uid="{65B84E10-1AEB-4DBD-8F5B-C537855552A9}" name="Present" dataDxfId="172">
      <calculatedColumnFormula>COUNTIF($K9:$AO9,"P")</calculatedColumnFormula>
    </tableColumn>
    <tableColumn id="5" xr3:uid="{5582ED4B-4D8E-4A25-ADA7-F09F90A91A4F}" name="Absent" dataDxfId="171">
      <calculatedColumnFormula>COUNTIF($K9:$AO9,"A")</calculatedColumnFormula>
    </tableColumn>
    <tableColumn id="6" xr3:uid="{C2F9F03E-5E9D-4ECD-B027-506611114A92}" name="Leave" dataDxfId="170">
      <calculatedColumnFormula>COUNTIF($K9:$AO9,"L")</calculatedColumnFormula>
    </tableColumn>
    <tableColumn id="7" xr3:uid="{4A137835-F05E-4B7A-9A4E-33250293978A}" name="Weekoff" dataDxfId="169">
      <calculatedColumnFormula>$J$9</calculatedColumnFormula>
    </tableColumn>
    <tableColumn id="8" xr3:uid="{696F7A31-A1B2-45C9-94FD-8FE88146A03E}" name="Days" dataDxfId="168">
      <calculatedColumnFormula>$I$4</calculatedColumnFormula>
    </tableColumn>
    <tableColumn id="9" xr3:uid="{23CEB473-E43A-4095-9A9C-92C48AB37F12}" name="Paid Days" dataDxfId="167">
      <calculatedColumnFormula>(augrepo[[#This Row],[Days]]-augrepo[[#This Row],[Absent]])</calculatedColumnFormula>
    </tableColumn>
    <tableColumn id="10" xr3:uid="{3A40F690-DC57-4AD6-A962-FC887EF3144D}" name="Salary" dataDxfId="166">
      <calculatedColumnFormula>RANDBETWEEN(10000,25000)</calculatedColumnFormula>
    </tableColumn>
    <tableColumn id="11" xr3:uid="{B03328C0-A791-4B99-8A70-2CE0AC5EAD35}" name="Paid Days Salary" dataDxfId="165">
      <calculatedColumnFormula>(augrepo[[#This Row],[Salary]]/augrepo[[#This Row],[Paid Days]])</calculatedColumnFormula>
    </tableColumn>
    <tableColumn id="12" xr3:uid="{D47DC3BD-8834-46C5-B77B-AF228C5DF28B}" name="Deduction" dataDxfId="164">
      <calculatedColumnFormula>augrepo[[#This Row],[Salary]]*augrepo[[#This Row],[Absent]]</calculatedColumnFormula>
    </tableColumn>
    <tableColumn id="13" xr3:uid="{6508D980-0BE8-4FFF-83F3-09D4043EAED8}" name="Total Salary" dataDxfId="163">
      <calculatedColumnFormula>augrepo[[#This Row],[Salary]]-augrepo[[#This Row],[Deduction]]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D59AC2C-8A4F-4784-A863-C1064C1970B4}" name="seprepo" displayName="seprepo" ref="AR8:BE28" totalsRowShown="0" headerRowDxfId="162" dataDxfId="161" tableBorderDxfId="160">
  <autoFilter ref="AR8:BE28" xr:uid="{9D59AC2C-8A4F-4784-A863-C1064C1970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24F0ED0-8B0F-4AA7-A835-DB77A8A36DC0}" name="Sr. no." dataDxfId="159"/>
    <tableColumn id="2" xr3:uid="{A334418E-D072-4B73-AEF5-1455BF65F469}" name="Emp Id" dataDxfId="158"/>
    <tableColumn id="3" xr3:uid="{989AC78C-2255-4FB1-80E3-AD316FE0DF0C}" name="Emp Name" dataDxfId="157"/>
    <tableColumn id="14" xr3:uid="{5481077B-571F-4A72-86D6-441EC7E3C20B}" name="Month" dataDxfId="156">
      <calculatedColumnFormula>$J$4</calculatedColumnFormula>
    </tableColumn>
    <tableColumn id="4" xr3:uid="{17BC4C34-FAFE-42E1-A211-E0F95A141AEE}" name="Present" dataDxfId="155">
      <calculatedColumnFormula>COUNTIF($K9:$AO9,"P")</calculatedColumnFormula>
    </tableColumn>
    <tableColumn id="5" xr3:uid="{D4ECE736-3D1F-4B31-B6B7-5625B67507E8}" name="Absent" dataDxfId="154">
      <calculatedColumnFormula>COUNTIF($K9:$AO9,"A")</calculatedColumnFormula>
    </tableColumn>
    <tableColumn id="6" xr3:uid="{A55D0B13-1DFC-4040-908D-6FC93F2EFB77}" name="Leave" dataDxfId="153">
      <calculatedColumnFormula>COUNTIF($K9:$AO9,"L")</calculatedColumnFormula>
    </tableColumn>
    <tableColumn id="7" xr3:uid="{1F299751-73EE-4F0C-8E23-EEA9E6D9860E}" name="Weekoff" dataDxfId="152">
      <calculatedColumnFormula>$J$9</calculatedColumnFormula>
    </tableColumn>
    <tableColumn id="8" xr3:uid="{2E298EEB-79AF-44E7-82F2-24F0AC2C94DF}" name="Days" dataDxfId="151">
      <calculatedColumnFormula>$I$4</calculatedColumnFormula>
    </tableColumn>
    <tableColumn id="9" xr3:uid="{5414571A-4607-4AE2-8862-D93C917E5827}" name="Paid Days" dataDxfId="150">
      <calculatedColumnFormula>(seprepo[[#This Row],[Days]]-seprepo[[#This Row],[Absent]])</calculatedColumnFormula>
    </tableColumn>
    <tableColumn id="10" xr3:uid="{9D87D4CD-B405-45E5-AAF0-DF92BF27794D}" name="Salary" dataDxfId="149">
      <calculatedColumnFormula>RANDBETWEEN(10000,25000)</calculatedColumnFormula>
    </tableColumn>
    <tableColumn id="11" xr3:uid="{77C3426C-23A8-4525-BA85-3AC06B979303}" name="Paid Days Salary" dataDxfId="148">
      <calculatedColumnFormula>(seprepo[[#This Row],[Salary]]/seprepo[[#This Row],[Paid Days]])</calculatedColumnFormula>
    </tableColumn>
    <tableColumn id="12" xr3:uid="{9822417B-26CF-4328-9E84-A8EA404D9BB2}" name="Deduction" dataDxfId="147">
      <calculatedColumnFormula>seprepo[[#This Row],[Salary]]*seprepo[[#This Row],[Absent]]</calculatedColumnFormula>
    </tableColumn>
    <tableColumn id="13" xr3:uid="{B5C9C9DA-D058-4BD6-BA5E-8B90E0871BEC}" name="Total Salary" dataDxfId="146">
      <calculatedColumnFormula>seprepo[[#This Row],[Salary]]-seprepo[[#This Row],[Deduction]]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50980E3-231C-48A1-AE44-B68DC8DC18BE}" name="octrepo" displayName="octrepo" ref="AR8:BE28" totalsRowShown="0" headerRowDxfId="145" dataDxfId="144" tableBorderDxfId="143">
  <autoFilter ref="AR8:BE28" xr:uid="{150980E3-231C-48A1-AE44-B68DC8DC18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46B01E2-9401-4DF1-820F-DFFC0347B8B5}" name="Sr. no." dataDxfId="142"/>
    <tableColumn id="2" xr3:uid="{4F6E2765-E061-487A-8E5B-FA75770D2790}" name="Emp Id" dataDxfId="141"/>
    <tableColumn id="3" xr3:uid="{89335857-5FFC-44E5-AD35-C506295D12B8}" name="Emp Name" dataDxfId="140"/>
    <tableColumn id="14" xr3:uid="{95236B5E-BB4E-4594-8136-7493652855FB}" name="Month" dataDxfId="139">
      <calculatedColumnFormula>$J$4</calculatedColumnFormula>
    </tableColumn>
    <tableColumn id="4" xr3:uid="{262F9CD6-A3FD-469D-87CA-F109AAE77766}" name="Present" dataDxfId="138">
      <calculatedColumnFormula>COUNTIF($K9:$AO9,"P")</calculatedColumnFormula>
    </tableColumn>
    <tableColumn id="5" xr3:uid="{BDCCFB41-562A-476F-8A3B-8356D62C9412}" name="Absent" dataDxfId="137">
      <calculatedColumnFormula>COUNTIF($K9:$AO9,"A")</calculatedColumnFormula>
    </tableColumn>
    <tableColumn id="6" xr3:uid="{9991E592-1148-4526-8674-C767C7FF414E}" name="Leave" dataDxfId="136">
      <calculatedColumnFormula>COUNTIF($K9:$AO9,"L")</calculatedColumnFormula>
    </tableColumn>
    <tableColumn id="7" xr3:uid="{FDDC0006-12F4-4C48-B72A-C5C659797493}" name="Weekoff" dataDxfId="135">
      <calculatedColumnFormula>$J$9</calculatedColumnFormula>
    </tableColumn>
    <tableColumn id="8" xr3:uid="{144E8523-587B-40F9-A552-449D911689DE}" name="Days" dataDxfId="134">
      <calculatedColumnFormula>$I$4</calculatedColumnFormula>
    </tableColumn>
    <tableColumn id="9" xr3:uid="{0570BE64-DF2A-4595-B7F0-9EEA36791B1B}" name="Paid Days" dataDxfId="133">
      <calculatedColumnFormula>(octrepo[[#This Row],[Days]]-octrepo[[#This Row],[Absent]])</calculatedColumnFormula>
    </tableColumn>
    <tableColumn id="10" xr3:uid="{7C540665-8401-414B-A74E-9B9F98FE4BE6}" name="Salary" dataDxfId="132">
      <calculatedColumnFormula>RANDBETWEEN(10000,25000)</calculatedColumnFormula>
    </tableColumn>
    <tableColumn id="11" xr3:uid="{ED4C0493-4814-404B-AEA0-BEA31864B251}" name="Paid Days Salary" dataDxfId="131">
      <calculatedColumnFormula>(octrepo[[#This Row],[Salary]]/octrepo[[#This Row],[Paid Days]])</calculatedColumnFormula>
    </tableColumn>
    <tableColumn id="12" xr3:uid="{CEF0C6A5-9C61-464D-BCDA-A4F275E63E81}" name="Deduction" dataDxfId="130">
      <calculatedColumnFormula>octrepo[[#This Row],[Salary]]*octrepo[[#This Row],[Absent]]</calculatedColumnFormula>
    </tableColumn>
    <tableColumn id="13" xr3:uid="{C8DB01AB-69E2-47E3-A3ED-EC8322185314}" name="Total Salary" dataDxfId="129">
      <calculatedColumnFormula>octrepo[[#This Row],[Salary]]-octrepo[[#This Row],[Deduction]]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D5B3EBA-461C-499E-ABE0-9E034C9ACFFC}" name="novrepo" displayName="novrepo" ref="AR8:BE28" totalsRowShown="0" headerRowDxfId="128" dataDxfId="127" tableBorderDxfId="126">
  <autoFilter ref="AR8:BE28" xr:uid="{6D5B3EBA-461C-499E-ABE0-9E034C9ACF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1C62480-7A93-4E72-A266-6DB6E764A6D8}" name="Sr. no." dataDxfId="125"/>
    <tableColumn id="2" xr3:uid="{CB1D1C53-B92E-493A-9FD1-73F2A70F6FC5}" name="Emp Id" dataDxfId="124"/>
    <tableColumn id="3" xr3:uid="{47391D36-43AE-4943-94C9-FD4C8C90E3B8}" name="Emp Name" dataDxfId="123"/>
    <tableColumn id="14" xr3:uid="{3EEA10E9-86F7-4EBA-84E7-02E787879989}" name="Month" dataDxfId="122">
      <calculatedColumnFormula>$J$4</calculatedColumnFormula>
    </tableColumn>
    <tableColumn id="4" xr3:uid="{A2DD2DDA-EF86-4618-B949-23CA262FB0EA}" name="Present" dataDxfId="121">
      <calculatedColumnFormula>COUNTIF($K9:$AO9,"P")</calculatedColumnFormula>
    </tableColumn>
    <tableColumn id="5" xr3:uid="{EB30197D-A377-4B52-8097-020824BFC24F}" name="Absent" dataDxfId="120">
      <calculatedColumnFormula>COUNTIF($K9:$AO9,"A")</calculatedColumnFormula>
    </tableColumn>
    <tableColumn id="6" xr3:uid="{D1E8F907-CE07-437B-BBCB-906DF78F068F}" name="Leave" dataDxfId="119">
      <calculatedColumnFormula>COUNTIF($K9:$AO9,"L")</calculatedColumnFormula>
    </tableColumn>
    <tableColumn id="7" xr3:uid="{C0FD7DD4-C733-459C-872B-4C13ADC57BF8}" name="Weekoff" dataDxfId="118">
      <calculatedColumnFormula>$J$9</calculatedColumnFormula>
    </tableColumn>
    <tableColumn id="8" xr3:uid="{5496CC14-7484-40AF-B596-3E04639B3622}" name="Days" dataDxfId="117">
      <calculatedColumnFormula>$I$4</calculatedColumnFormula>
    </tableColumn>
    <tableColumn id="9" xr3:uid="{CE57A1DF-27BF-40DD-8E34-91F9202DB1DE}" name="Paid Days" dataDxfId="116">
      <calculatedColumnFormula>(novrepo[[#This Row],[Days]]-novrepo[[#This Row],[Absent]])</calculatedColumnFormula>
    </tableColumn>
    <tableColumn id="10" xr3:uid="{D909DC16-FB6D-412C-9061-F8E1F143AB85}" name="Salary" dataDxfId="115">
      <calculatedColumnFormula>RANDBETWEEN(10000,25000)</calculatedColumnFormula>
    </tableColumn>
    <tableColumn id="11" xr3:uid="{DDAC3226-7389-4505-9459-AF92607624A6}" name="Paid Days Salary" dataDxfId="114">
      <calculatedColumnFormula>(novrepo[[#This Row],[Salary]]/novrepo[[#This Row],[Paid Days]])</calculatedColumnFormula>
    </tableColumn>
    <tableColumn id="12" xr3:uid="{2CBF8C6A-5611-4136-89B5-694B7DAF3E5C}" name="Deduction" dataDxfId="113">
      <calculatedColumnFormula>novrepo[[#This Row],[Salary]]*novrepo[[#This Row],[Absent]]</calculatedColumnFormula>
    </tableColumn>
    <tableColumn id="13" xr3:uid="{32195B26-EE35-4F76-BC9B-21692BF7F856}" name="Total Salary" dataDxfId="112">
      <calculatedColumnFormula>novrepo[[#This Row],[Salary]]-novrepo[[#This Row],[Deduction]]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3BB64B0-01DD-40A2-B3A4-D1282E3505CE}" name="decrepo" displayName="decrepo" ref="AR8:BE28" totalsRowShown="0" headerRowDxfId="111" dataDxfId="110" tableBorderDxfId="109">
  <autoFilter ref="AR8:BE28" xr:uid="{93BB64B0-01DD-40A2-B3A4-D1282E3505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7161F0E-A234-43F5-8C0A-6D0F92734AB3}" name="Sr. no." dataDxfId="108"/>
    <tableColumn id="2" xr3:uid="{2ADFC941-8D06-4C0C-8AF7-5095A0C935A0}" name="Emp Id" dataDxfId="107"/>
    <tableColumn id="3" xr3:uid="{FD8494D0-FCF5-43ED-AE1B-66C4F07EE7F1}" name="Emp Name" dataDxfId="106"/>
    <tableColumn id="14" xr3:uid="{45047CD2-A766-4C5D-A1B0-0B5BCA4633A1}" name="Month" dataDxfId="105">
      <calculatedColumnFormula>$J$4</calculatedColumnFormula>
    </tableColumn>
    <tableColumn id="4" xr3:uid="{24347CAE-B19F-43D0-A052-082993D7B180}" name="Present" dataDxfId="104">
      <calculatedColumnFormula>COUNTIF($K9:$AO9,"P")</calculatedColumnFormula>
    </tableColumn>
    <tableColumn id="5" xr3:uid="{150631D8-8D76-446B-A2FF-C1473F8D5230}" name="Absent" dataDxfId="103">
      <calculatedColumnFormula>COUNTIF($K9:$AO9,"A")</calculatedColumnFormula>
    </tableColumn>
    <tableColumn id="6" xr3:uid="{8A62F630-A1A8-44C8-886B-E806769A1A5A}" name="Leave" dataDxfId="102">
      <calculatedColumnFormula>COUNTIF($K9:$AO9,"L")</calculatedColumnFormula>
    </tableColumn>
    <tableColumn id="7" xr3:uid="{13268723-5C37-4A13-890D-A6C65E880886}" name="Weekoff" dataDxfId="101">
      <calculatedColumnFormula>$J$9</calculatedColumnFormula>
    </tableColumn>
    <tableColumn id="8" xr3:uid="{2C8DF0EC-32C5-408A-9D18-1646825BCCB3}" name="Days" dataDxfId="100">
      <calculatedColumnFormula>$I$4</calculatedColumnFormula>
    </tableColumn>
    <tableColumn id="9" xr3:uid="{6E793139-F3F3-4043-A308-631C31D55040}" name="Paid Days" dataDxfId="99">
      <calculatedColumnFormula>(decrepo[[#This Row],[Days]]-decrepo[[#This Row],[Absent]])</calculatedColumnFormula>
    </tableColumn>
    <tableColumn id="10" xr3:uid="{6907E30B-791A-4327-9030-A5224B586CF1}" name="Salary" dataDxfId="98">
      <calculatedColumnFormula>RANDBETWEEN(10000,25000)</calculatedColumnFormula>
    </tableColumn>
    <tableColumn id="11" xr3:uid="{6A5A1F8C-AFF9-41F6-97BA-5751F5FB89C5}" name="Paid Days Salary" dataDxfId="97">
      <calculatedColumnFormula>(decrepo[[#This Row],[Salary]]/decrepo[[#This Row],[Paid Days]])</calculatedColumnFormula>
    </tableColumn>
    <tableColumn id="12" xr3:uid="{589B676A-C1B7-4584-B551-80DA44169A4F}" name="Deduction" dataDxfId="96">
      <calculatedColumnFormula>decrepo[[#This Row],[Salary]]*decrepo[[#This Row],[Absent]]</calculatedColumnFormula>
    </tableColumn>
    <tableColumn id="13" xr3:uid="{9EECA259-C321-4654-AC72-5A9DD084D345}" name="Total Salary" dataDxfId="95">
      <calculatedColumnFormula>decrepo[[#This Row],[Salary]]-decrepo[[#This Row],[Deduction]]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B98B-6CAB-4189-863B-8B4B68F06EC7}">
  <dimension ref="A1:C21"/>
  <sheetViews>
    <sheetView workbookViewId="0">
      <selection sqref="A1:C21"/>
    </sheetView>
  </sheetViews>
  <sheetFormatPr defaultRowHeight="15" x14ac:dyDescent="0.25"/>
  <cols>
    <col min="2" max="2" width="18.42578125" customWidth="1"/>
    <col min="3" max="3" width="14.28515625" customWidth="1"/>
  </cols>
  <sheetData>
    <row r="1" spans="1:3" ht="26.2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>
        <v>1001</v>
      </c>
    </row>
    <row r="3" spans="1:3" x14ac:dyDescent="0.25">
      <c r="A3" s="1">
        <v>2</v>
      </c>
      <c r="B3" s="1" t="s">
        <v>4</v>
      </c>
      <c r="C3" s="1">
        <v>1002</v>
      </c>
    </row>
    <row r="4" spans="1:3" x14ac:dyDescent="0.25">
      <c r="A4" s="1">
        <v>3</v>
      </c>
      <c r="B4" s="1" t="s">
        <v>5</v>
      </c>
      <c r="C4" s="1">
        <v>1003</v>
      </c>
    </row>
    <row r="5" spans="1:3" x14ac:dyDescent="0.25">
      <c r="A5" s="1">
        <v>4</v>
      </c>
      <c r="B5" s="1" t="s">
        <v>6</v>
      </c>
      <c r="C5" s="1">
        <v>1004</v>
      </c>
    </row>
    <row r="6" spans="1:3" x14ac:dyDescent="0.25">
      <c r="A6" s="1">
        <v>5</v>
      </c>
      <c r="B6" s="1" t="s">
        <v>7</v>
      </c>
      <c r="C6" s="1">
        <v>1005</v>
      </c>
    </row>
    <row r="7" spans="1:3" x14ac:dyDescent="0.25">
      <c r="A7" s="1">
        <v>6</v>
      </c>
      <c r="B7" s="1" t="s">
        <v>8</v>
      </c>
      <c r="C7" s="1">
        <v>1006</v>
      </c>
    </row>
    <row r="8" spans="1:3" x14ac:dyDescent="0.25">
      <c r="A8" s="1">
        <v>7</v>
      </c>
      <c r="B8" s="1" t="s">
        <v>9</v>
      </c>
      <c r="C8" s="1">
        <v>1007</v>
      </c>
    </row>
    <row r="9" spans="1:3" x14ac:dyDescent="0.25">
      <c r="A9" s="1">
        <v>8</v>
      </c>
      <c r="B9" s="1" t="s">
        <v>10</v>
      </c>
      <c r="C9" s="1">
        <v>1008</v>
      </c>
    </row>
    <row r="10" spans="1:3" x14ac:dyDescent="0.25">
      <c r="A10" s="1">
        <v>9</v>
      </c>
      <c r="B10" s="1" t="s">
        <v>11</v>
      </c>
      <c r="C10" s="1">
        <v>1009</v>
      </c>
    </row>
    <row r="11" spans="1:3" x14ac:dyDescent="0.25">
      <c r="A11" s="1">
        <v>10</v>
      </c>
      <c r="B11" s="1" t="s">
        <v>12</v>
      </c>
      <c r="C11" s="1">
        <v>1010</v>
      </c>
    </row>
    <row r="12" spans="1:3" x14ac:dyDescent="0.25">
      <c r="A12" s="1">
        <v>11</v>
      </c>
      <c r="B12" s="1" t="s">
        <v>13</v>
      </c>
      <c r="C12" s="1">
        <v>1011</v>
      </c>
    </row>
    <row r="13" spans="1:3" x14ac:dyDescent="0.25">
      <c r="A13" s="1">
        <v>12</v>
      </c>
      <c r="B13" s="1" t="s">
        <v>14</v>
      </c>
      <c r="C13" s="1">
        <v>1012</v>
      </c>
    </row>
    <row r="14" spans="1:3" x14ac:dyDescent="0.25">
      <c r="A14" s="1">
        <v>13</v>
      </c>
      <c r="B14" s="1" t="s">
        <v>15</v>
      </c>
      <c r="C14" s="1">
        <v>1013</v>
      </c>
    </row>
    <row r="15" spans="1:3" x14ac:dyDescent="0.25">
      <c r="A15" s="1">
        <v>14</v>
      </c>
      <c r="B15" s="1" t="s">
        <v>16</v>
      </c>
      <c r="C15" s="1">
        <v>1014</v>
      </c>
    </row>
    <row r="16" spans="1:3" x14ac:dyDescent="0.25">
      <c r="A16" s="1">
        <v>15</v>
      </c>
      <c r="B16" s="1" t="s">
        <v>17</v>
      </c>
      <c r="C16" s="1">
        <v>1015</v>
      </c>
    </row>
    <row r="17" spans="1:3" x14ac:dyDescent="0.25">
      <c r="A17" s="1">
        <v>16</v>
      </c>
      <c r="B17" s="1" t="s">
        <v>18</v>
      </c>
      <c r="C17" s="1">
        <v>1016</v>
      </c>
    </row>
    <row r="18" spans="1:3" x14ac:dyDescent="0.25">
      <c r="A18" s="1">
        <v>17</v>
      </c>
      <c r="B18" s="1" t="s">
        <v>19</v>
      </c>
      <c r="C18" s="1">
        <v>1017</v>
      </c>
    </row>
    <row r="19" spans="1:3" x14ac:dyDescent="0.25">
      <c r="A19" s="1">
        <v>18</v>
      </c>
      <c r="B19" s="1" t="s">
        <v>20</v>
      </c>
      <c r="C19" s="1">
        <v>1018</v>
      </c>
    </row>
    <row r="20" spans="1:3" x14ac:dyDescent="0.25">
      <c r="A20" s="1">
        <v>19</v>
      </c>
      <c r="B20" s="1" t="s">
        <v>21</v>
      </c>
      <c r="C20" s="1">
        <v>1019</v>
      </c>
    </row>
    <row r="21" spans="1:3" x14ac:dyDescent="0.25">
      <c r="A21" s="1">
        <v>20</v>
      </c>
      <c r="B21" s="1" t="s">
        <v>22</v>
      </c>
      <c r="C21" s="1">
        <v>1020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7525-8310-4614-98B0-1B893327C6F8}">
  <dimension ref="A1:A12"/>
  <sheetViews>
    <sheetView workbookViewId="0"/>
  </sheetViews>
  <sheetFormatPr defaultRowHeight="15" x14ac:dyDescent="0.25"/>
  <cols>
    <col min="1" max="1" width="10.42578125" bestFit="1" customWidth="1"/>
  </cols>
  <sheetData>
    <row r="1" spans="1:1" x14ac:dyDescent="0.25">
      <c r="A1" s="3">
        <v>45658</v>
      </c>
    </row>
    <row r="2" spans="1:1" x14ac:dyDescent="0.25">
      <c r="A2" s="3">
        <v>45689</v>
      </c>
    </row>
    <row r="3" spans="1:1" x14ac:dyDescent="0.25">
      <c r="A3" s="3">
        <v>45717</v>
      </c>
    </row>
    <row r="4" spans="1:1" x14ac:dyDescent="0.25">
      <c r="A4" s="3">
        <v>45748</v>
      </c>
    </row>
    <row r="5" spans="1:1" x14ac:dyDescent="0.25">
      <c r="A5" s="3">
        <v>45778</v>
      </c>
    </row>
    <row r="6" spans="1:1" x14ac:dyDescent="0.25">
      <c r="A6" s="3">
        <v>45809</v>
      </c>
    </row>
    <row r="7" spans="1:1" x14ac:dyDescent="0.25">
      <c r="A7" s="3">
        <v>45839</v>
      </c>
    </row>
    <row r="8" spans="1:1" x14ac:dyDescent="0.25">
      <c r="A8" s="3">
        <v>45870</v>
      </c>
    </row>
    <row r="9" spans="1:1" x14ac:dyDescent="0.25">
      <c r="A9" s="3">
        <v>45901</v>
      </c>
    </row>
    <row r="10" spans="1:1" x14ac:dyDescent="0.25">
      <c r="A10" s="3">
        <v>45931</v>
      </c>
    </row>
    <row r="11" spans="1:1" x14ac:dyDescent="0.25">
      <c r="A11" s="3">
        <v>45962</v>
      </c>
    </row>
    <row r="12" spans="1:1" x14ac:dyDescent="0.25">
      <c r="A12" s="3">
        <v>45992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1C4C-CC6D-4E2E-B8D0-84A7FDF9B330}">
  <dimension ref="D1:BG44"/>
  <sheetViews>
    <sheetView topLeftCell="AA1" zoomScale="90" zoomScaleNormal="90" workbookViewId="0">
      <selection activeCell="AU17" sqref="AU17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45658</v>
      </c>
      <c r="I4" s="19">
        <f>(DATEDIF($H$4,$L$4,"D")+1)</f>
        <v>31</v>
      </c>
      <c r="J4" s="17" t="str">
        <f>TEXT(H4,"mmm")</f>
        <v>Jan</v>
      </c>
      <c r="K4" s="17" t="s">
        <v>27</v>
      </c>
      <c r="L4" s="18">
        <f>EOMONTH(H4,0)</f>
        <v>45688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Wed</v>
      </c>
      <c r="L7" s="5" t="str">
        <f t="shared" ref="L7:AO7" si="0">TEXT(L8,"ddd")</f>
        <v>Thu</v>
      </c>
      <c r="M7" s="5" t="str">
        <f t="shared" si="0"/>
        <v>Fri</v>
      </c>
      <c r="N7" s="5" t="str">
        <f t="shared" si="0"/>
        <v>Sat</v>
      </c>
      <c r="O7" s="5" t="str">
        <f t="shared" si="0"/>
        <v>Sun</v>
      </c>
      <c r="P7" s="5" t="str">
        <f t="shared" si="0"/>
        <v>Mon</v>
      </c>
      <c r="Q7" s="5" t="str">
        <f t="shared" si="0"/>
        <v>Tue</v>
      </c>
      <c r="R7" s="5" t="str">
        <f t="shared" si="0"/>
        <v>Wed</v>
      </c>
      <c r="S7" s="5" t="str">
        <f t="shared" si="0"/>
        <v>Thu</v>
      </c>
      <c r="T7" s="5" t="str">
        <f t="shared" si="0"/>
        <v>Fri</v>
      </c>
      <c r="U7" s="5" t="str">
        <f t="shared" si="0"/>
        <v>Sat</v>
      </c>
      <c r="V7" s="5" t="str">
        <f t="shared" si="0"/>
        <v>Sun</v>
      </c>
      <c r="W7" s="5" t="str">
        <f t="shared" si="0"/>
        <v>Mon</v>
      </c>
      <c r="X7" s="5" t="str">
        <f t="shared" si="0"/>
        <v>Tue</v>
      </c>
      <c r="Y7" s="5" t="str">
        <f t="shared" si="0"/>
        <v>Wed</v>
      </c>
      <c r="Z7" s="5" t="str">
        <f t="shared" si="0"/>
        <v>Thu</v>
      </c>
      <c r="AA7" s="5" t="str">
        <f t="shared" si="0"/>
        <v>Fri</v>
      </c>
      <c r="AB7" s="5" t="str">
        <f t="shared" si="0"/>
        <v>Sat</v>
      </c>
      <c r="AC7" s="5" t="str">
        <f t="shared" si="0"/>
        <v>Sun</v>
      </c>
      <c r="AD7" s="5" t="str">
        <f t="shared" si="0"/>
        <v>Mon</v>
      </c>
      <c r="AE7" s="5" t="str">
        <f t="shared" si="0"/>
        <v>Tue</v>
      </c>
      <c r="AF7" s="5" t="str">
        <f t="shared" si="0"/>
        <v>Wed</v>
      </c>
      <c r="AG7" s="5" t="str">
        <f t="shared" si="0"/>
        <v>Thu</v>
      </c>
      <c r="AH7" s="5" t="str">
        <f t="shared" si="0"/>
        <v>Fri</v>
      </c>
      <c r="AI7" s="5" t="str">
        <f t="shared" si="0"/>
        <v>Sat</v>
      </c>
      <c r="AJ7" s="5" t="str">
        <f t="shared" si="0"/>
        <v>Sun</v>
      </c>
      <c r="AK7" s="5" t="str">
        <f t="shared" si="0"/>
        <v>Mon</v>
      </c>
      <c r="AL7" s="5" t="str">
        <f t="shared" si="0"/>
        <v>Tue</v>
      </c>
      <c r="AM7" s="5" t="str">
        <f t="shared" si="0"/>
        <v>Wed</v>
      </c>
      <c r="AN7" s="5" t="str">
        <f t="shared" si="0"/>
        <v>Thu</v>
      </c>
      <c r="AO7" s="6" t="str">
        <f t="shared" si="0"/>
        <v>Fri</v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45658</v>
      </c>
      <c r="L8" s="23">
        <f t="shared" ref="L8:AO8" si="1">IF(K8&lt;$L$4,K8+1,"")</f>
        <v>45659</v>
      </c>
      <c r="M8" s="23">
        <f t="shared" si="1"/>
        <v>45660</v>
      </c>
      <c r="N8" s="23">
        <f t="shared" si="1"/>
        <v>45661</v>
      </c>
      <c r="O8" s="23">
        <f t="shared" si="1"/>
        <v>45662</v>
      </c>
      <c r="P8" s="23">
        <f t="shared" si="1"/>
        <v>45663</v>
      </c>
      <c r="Q8" s="23">
        <f t="shared" si="1"/>
        <v>45664</v>
      </c>
      <c r="R8" s="23">
        <f t="shared" si="1"/>
        <v>45665</v>
      </c>
      <c r="S8" s="23">
        <f t="shared" si="1"/>
        <v>45666</v>
      </c>
      <c r="T8" s="23">
        <f t="shared" si="1"/>
        <v>45667</v>
      </c>
      <c r="U8" s="23">
        <f t="shared" si="1"/>
        <v>45668</v>
      </c>
      <c r="V8" s="23">
        <f t="shared" si="1"/>
        <v>45669</v>
      </c>
      <c r="W8" s="23">
        <f t="shared" si="1"/>
        <v>45670</v>
      </c>
      <c r="X8" s="23">
        <f t="shared" si="1"/>
        <v>45671</v>
      </c>
      <c r="Y8" s="23">
        <f t="shared" si="1"/>
        <v>45672</v>
      </c>
      <c r="Z8" s="23">
        <f t="shared" si="1"/>
        <v>45673</v>
      </c>
      <c r="AA8" s="23">
        <f t="shared" si="1"/>
        <v>45674</v>
      </c>
      <c r="AB8" s="23">
        <f t="shared" si="1"/>
        <v>45675</v>
      </c>
      <c r="AC8" s="23">
        <f t="shared" si="1"/>
        <v>45676</v>
      </c>
      <c r="AD8" s="23">
        <f t="shared" si="1"/>
        <v>45677</v>
      </c>
      <c r="AE8" s="23">
        <f t="shared" si="1"/>
        <v>45678</v>
      </c>
      <c r="AF8" s="23">
        <f t="shared" si="1"/>
        <v>45679</v>
      </c>
      <c r="AG8" s="23">
        <f t="shared" si="1"/>
        <v>45680</v>
      </c>
      <c r="AH8" s="23">
        <f t="shared" si="1"/>
        <v>45681</v>
      </c>
      <c r="AI8" s="23">
        <f t="shared" si="1"/>
        <v>45682</v>
      </c>
      <c r="AJ8" s="23">
        <f t="shared" si="1"/>
        <v>45683</v>
      </c>
      <c r="AK8" s="23">
        <f t="shared" si="1"/>
        <v>45684</v>
      </c>
      <c r="AL8" s="23">
        <f t="shared" si="1"/>
        <v>45685</v>
      </c>
      <c r="AM8" s="23">
        <f t="shared" si="1"/>
        <v>45686</v>
      </c>
      <c r="AN8" s="23">
        <f t="shared" si="1"/>
        <v>45687</v>
      </c>
      <c r="AO8" s="24">
        <f t="shared" si="1"/>
        <v>45688</v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4</v>
      </c>
      <c r="K9" s="34" t="s">
        <v>42</v>
      </c>
      <c r="L9" s="34" t="s">
        <v>42</v>
      </c>
      <c r="M9" s="34" t="s">
        <v>42</v>
      </c>
      <c r="N9" s="34" t="s">
        <v>42</v>
      </c>
      <c r="O9" s="34" t="str">
        <f t="shared" ref="O9:O14" si="2">IF(O$7="Sun","WO","")</f>
        <v>WO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45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42</v>
      </c>
      <c r="AO9" s="28" t="s">
        <v>46</v>
      </c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3">$J$4</f>
        <v>Jan</v>
      </c>
      <c r="AV9" s="11">
        <f>COUNTIF($K9:$AO9,"P")</f>
        <v>22</v>
      </c>
      <c r="AW9" s="11">
        <f t="shared" ref="AW9:AW28" si="4">COUNTIF($K9:$AO9,"A")</f>
        <v>1</v>
      </c>
      <c r="AX9" s="11">
        <f>COUNTIF($K9:$AO$9,"L")</f>
        <v>4</v>
      </c>
      <c r="AY9" s="11">
        <f t="shared" ref="AY9:AY28" si="5">$J$9</f>
        <v>4</v>
      </c>
      <c r="AZ9" s="13">
        <f t="shared" ref="AZ9:AZ28" si="6">$I$4</f>
        <v>31</v>
      </c>
      <c r="BA9" s="13">
        <f>(Janrepo[[#This Row],[Days]]-Janrepo[[#This Row],[Absent]])</f>
        <v>30</v>
      </c>
      <c r="BB9" s="11">
        <f t="shared" ref="BB9:BB28" ca="1" si="7">RANDBETWEEN(10000,25000)</f>
        <v>12514</v>
      </c>
      <c r="BC9" s="13">
        <f ca="1">(Janrepo[[#This Row],[Salary]]/Janrepo[[#This Row],[Paid Days]])</f>
        <v>417.13333333333333</v>
      </c>
      <c r="BD9" s="13">
        <f ca="1">Janrepo[[#This Row],[Paid Days Salary]]*Janrepo[[#This Row],[Absent]]</f>
        <v>417.13333333333333</v>
      </c>
      <c r="BE9" s="13">
        <f ca="1">(Janrepo[[#This Row],[Salary]]-Janrepo[[#This Row],[Deduction]])</f>
        <v>12096.866666666667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8">COUNTIF($K$7:$AO$7,"Sun")</f>
        <v>4</v>
      </c>
      <c r="K10" s="34" t="s">
        <v>42</v>
      </c>
      <c r="L10" s="34" t="s">
        <v>45</v>
      </c>
      <c r="M10" s="34" t="s">
        <v>42</v>
      </c>
      <c r="N10" s="34" t="s">
        <v>42</v>
      </c>
      <c r="O10" s="34" t="str">
        <f t="shared" si="2"/>
        <v>WO</v>
      </c>
      <c r="P10" s="34" t="s">
        <v>42</v>
      </c>
      <c r="Q10" s="34" t="s">
        <v>42</v>
      </c>
      <c r="R10" s="34" t="s">
        <v>45</v>
      </c>
      <c r="S10" s="34" t="s">
        <v>42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45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42</v>
      </c>
      <c r="AN10" s="34" t="s">
        <v>42</v>
      </c>
      <c r="AO10" s="28" t="s">
        <v>46</v>
      </c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3"/>
        <v>Jan</v>
      </c>
      <c r="AV10" s="11">
        <f t="shared" ref="AV10:AV28" si="9">COUNTIF($K10:$AO10,"P")</f>
        <v>20</v>
      </c>
      <c r="AW10" s="11">
        <f t="shared" si="4"/>
        <v>3</v>
      </c>
      <c r="AX10" s="11">
        <f>COUNTIF($K$9:$AO10,"L")</f>
        <v>8</v>
      </c>
      <c r="AY10" s="11">
        <f t="shared" si="5"/>
        <v>4</v>
      </c>
      <c r="AZ10" s="13">
        <f t="shared" si="6"/>
        <v>31</v>
      </c>
      <c r="BA10" s="13">
        <f>(Janrepo[[#This Row],[Days]]-Janrepo[[#This Row],[Absent]])</f>
        <v>28</v>
      </c>
      <c r="BB10" s="11">
        <f t="shared" ca="1" si="7"/>
        <v>16432</v>
      </c>
      <c r="BC10" s="13">
        <f ca="1">(Janrepo[[#This Row],[Salary]]/Janrepo[[#This Row],[Paid Days]])</f>
        <v>586.85714285714289</v>
      </c>
      <c r="BD10" s="13">
        <f ca="1">Janrepo[[#This Row],[Paid Days Salary]]*Janrepo[[#This Row],[Absent]]</f>
        <v>1760.5714285714287</v>
      </c>
      <c r="BE10" s="13">
        <f ca="1">(Janrepo[[#This Row],[Salary]]-Janrepo[[#This Row],[Deduction]])</f>
        <v>14671.428571428571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8"/>
        <v>4</v>
      </c>
      <c r="K11" s="34" t="s">
        <v>42</v>
      </c>
      <c r="L11" s="34" t="s">
        <v>42</v>
      </c>
      <c r="M11" s="34" t="s">
        <v>42</v>
      </c>
      <c r="N11" s="34" t="s">
        <v>42</v>
      </c>
      <c r="O11" s="34" t="str">
        <f t="shared" si="2"/>
        <v>WO</v>
      </c>
      <c r="P11" s="34" t="s">
        <v>42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42</v>
      </c>
      <c r="X11" s="34" t="s">
        <v>42</v>
      </c>
      <c r="Y11" s="34" t="s">
        <v>45</v>
      </c>
      <c r="Z11" s="34" t="s">
        <v>42</v>
      </c>
      <c r="AA11" s="34" t="s">
        <v>42</v>
      </c>
      <c r="AB11" s="34" t="s">
        <v>46</v>
      </c>
      <c r="AC11" s="34" t="s">
        <v>44</v>
      </c>
      <c r="AD11" s="34" t="s">
        <v>42</v>
      </c>
      <c r="AE11" s="34" t="s">
        <v>42</v>
      </c>
      <c r="AF11" s="34" t="s">
        <v>42</v>
      </c>
      <c r="AG11" s="34" t="s">
        <v>42</v>
      </c>
      <c r="AH11" s="34" t="s">
        <v>42</v>
      </c>
      <c r="AI11" s="34" t="s">
        <v>46</v>
      </c>
      <c r="AJ11" s="34" t="s">
        <v>44</v>
      </c>
      <c r="AK11" s="34" t="s">
        <v>42</v>
      </c>
      <c r="AL11" s="34" t="s">
        <v>42</v>
      </c>
      <c r="AM11" s="34" t="s">
        <v>42</v>
      </c>
      <c r="AN11" s="34" t="s">
        <v>42</v>
      </c>
      <c r="AO11" s="28" t="s">
        <v>46</v>
      </c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3"/>
        <v>Jan</v>
      </c>
      <c r="AV11" s="11">
        <f t="shared" si="9"/>
        <v>22</v>
      </c>
      <c r="AW11" s="11">
        <f t="shared" si="4"/>
        <v>1</v>
      </c>
      <c r="AX11" s="11">
        <f>COUNTIF($K$9:$AO11,"L")</f>
        <v>12</v>
      </c>
      <c r="AY11" s="11">
        <f t="shared" si="5"/>
        <v>4</v>
      </c>
      <c r="AZ11" s="13">
        <f t="shared" si="6"/>
        <v>31</v>
      </c>
      <c r="BA11" s="13">
        <f>(Janrepo[[#This Row],[Days]]-Janrepo[[#This Row],[Absent]])</f>
        <v>30</v>
      </c>
      <c r="BB11" s="11">
        <f t="shared" ca="1" si="7"/>
        <v>10675</v>
      </c>
      <c r="BC11" s="13">
        <f ca="1">(Janrepo[[#This Row],[Salary]]/Janrepo[[#This Row],[Paid Days]])</f>
        <v>355.83333333333331</v>
      </c>
      <c r="BD11" s="13">
        <f ca="1">Janrepo[[#This Row],[Paid Days Salary]]*Janrepo[[#This Row],[Absent]]</f>
        <v>355.83333333333331</v>
      </c>
      <c r="BE11" s="13">
        <f ca="1">(Janrepo[[#This Row],[Salary]]-Janrepo[[#This Row],[Deduction]])</f>
        <v>10319.166666666666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8"/>
        <v>4</v>
      </c>
      <c r="K12" s="34" t="s">
        <v>42</v>
      </c>
      <c r="L12" s="34" t="s">
        <v>42</v>
      </c>
      <c r="M12" s="34" t="s">
        <v>42</v>
      </c>
      <c r="N12" s="34" t="s">
        <v>42</v>
      </c>
      <c r="O12" s="34" t="str">
        <f t="shared" si="2"/>
        <v>WO</v>
      </c>
      <c r="P12" s="34" t="s">
        <v>42</v>
      </c>
      <c r="Q12" s="34" t="s">
        <v>42</v>
      </c>
      <c r="R12" s="34" t="s">
        <v>42</v>
      </c>
      <c r="S12" s="34" t="s">
        <v>42</v>
      </c>
      <c r="T12" s="34" t="s">
        <v>45</v>
      </c>
      <c r="U12" s="34" t="s">
        <v>46</v>
      </c>
      <c r="V12" s="34" t="s">
        <v>44</v>
      </c>
      <c r="W12" s="34" t="s">
        <v>42</v>
      </c>
      <c r="X12" s="34" t="s">
        <v>42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42</v>
      </c>
      <c r="AE12" s="34" t="s">
        <v>45</v>
      </c>
      <c r="AF12" s="34" t="s">
        <v>42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45</v>
      </c>
      <c r="AL12" s="34" t="s">
        <v>42</v>
      </c>
      <c r="AM12" s="34" t="s">
        <v>42</v>
      </c>
      <c r="AN12" s="34" t="s">
        <v>42</v>
      </c>
      <c r="AO12" s="28" t="s">
        <v>46</v>
      </c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3"/>
        <v>Jan</v>
      </c>
      <c r="AV12" s="11">
        <f t="shared" si="9"/>
        <v>20</v>
      </c>
      <c r="AW12" s="11">
        <f t="shared" si="4"/>
        <v>3</v>
      </c>
      <c r="AX12" s="11">
        <f>COUNTIF($K$9:$AO12,"L")</f>
        <v>16</v>
      </c>
      <c r="AY12" s="11">
        <f t="shared" si="5"/>
        <v>4</v>
      </c>
      <c r="AZ12" s="13">
        <f t="shared" si="6"/>
        <v>31</v>
      </c>
      <c r="BA12" s="13">
        <f>(Janrepo[[#This Row],[Days]]-Janrepo[[#This Row],[Absent]])</f>
        <v>28</v>
      </c>
      <c r="BB12" s="11">
        <f t="shared" ca="1" si="7"/>
        <v>19475</v>
      </c>
      <c r="BC12" s="13">
        <f ca="1">(Janrepo[[#This Row],[Salary]]/Janrepo[[#This Row],[Paid Days]])</f>
        <v>695.53571428571433</v>
      </c>
      <c r="BD12" s="13">
        <f ca="1">Janrepo[[#This Row],[Paid Days Salary]]*Janrepo[[#This Row],[Absent]]</f>
        <v>2086.6071428571431</v>
      </c>
      <c r="BE12" s="13">
        <f ca="1">(Janrepo[[#This Row],[Salary]]-Janrepo[[#This Row],[Deduction]])</f>
        <v>17388.392857142855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8"/>
        <v>4</v>
      </c>
      <c r="K13" s="34" t="s">
        <v>42</v>
      </c>
      <c r="L13" s="34" t="s">
        <v>45</v>
      </c>
      <c r="M13" s="34" t="s">
        <v>42</v>
      </c>
      <c r="N13" s="34" t="s">
        <v>42</v>
      </c>
      <c r="O13" s="34" t="str">
        <f t="shared" si="2"/>
        <v>WO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42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45</v>
      </c>
      <c r="AN13" s="34" t="s">
        <v>42</v>
      </c>
      <c r="AO13" s="28" t="s">
        <v>46</v>
      </c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3"/>
        <v>Jan</v>
      </c>
      <c r="AV13" s="11">
        <f t="shared" si="9"/>
        <v>21</v>
      </c>
      <c r="AW13" s="11">
        <f t="shared" si="4"/>
        <v>2</v>
      </c>
      <c r="AX13" s="11">
        <f>COUNTIF($K$9:$AO13,"L")</f>
        <v>20</v>
      </c>
      <c r="AY13" s="11">
        <f t="shared" si="5"/>
        <v>4</v>
      </c>
      <c r="AZ13" s="13">
        <f t="shared" si="6"/>
        <v>31</v>
      </c>
      <c r="BA13" s="13">
        <f>(Janrepo[[#This Row],[Days]]-Janrepo[[#This Row],[Absent]])</f>
        <v>29</v>
      </c>
      <c r="BB13" s="11">
        <f t="shared" ca="1" si="7"/>
        <v>24385</v>
      </c>
      <c r="BC13" s="13">
        <f ca="1">(Janrepo[[#This Row],[Salary]]/Janrepo[[#This Row],[Paid Days]])</f>
        <v>840.86206896551721</v>
      </c>
      <c r="BD13" s="13">
        <f ca="1">Janrepo[[#This Row],[Paid Days Salary]]*Janrepo[[#This Row],[Absent]]</f>
        <v>1681.7241379310344</v>
      </c>
      <c r="BE13" s="13">
        <f ca="1">(Janrepo[[#This Row],[Salary]]-Janrepo[[#This Row],[Deduction]])</f>
        <v>22703.275862068964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8"/>
        <v>4</v>
      </c>
      <c r="K14" s="34" t="s">
        <v>42</v>
      </c>
      <c r="L14" s="34" t="s">
        <v>42</v>
      </c>
      <c r="M14" s="34" t="s">
        <v>42</v>
      </c>
      <c r="N14" s="34" t="s">
        <v>45</v>
      </c>
      <c r="O14" s="34" t="str">
        <f t="shared" si="2"/>
        <v>WO</v>
      </c>
      <c r="P14" s="34" t="s">
        <v>45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42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42</v>
      </c>
      <c r="AL14" s="34" t="s">
        <v>42</v>
      </c>
      <c r="AM14" s="34" t="s">
        <v>42</v>
      </c>
      <c r="AN14" s="34" t="s">
        <v>42</v>
      </c>
      <c r="AO14" s="28" t="s">
        <v>46</v>
      </c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3"/>
        <v>Jan</v>
      </c>
      <c r="AV14" s="11">
        <f t="shared" si="9"/>
        <v>21</v>
      </c>
      <c r="AW14" s="11">
        <f t="shared" si="4"/>
        <v>2</v>
      </c>
      <c r="AX14" s="11">
        <f>COUNTIF($K$9:$AO14,"L")</f>
        <v>24</v>
      </c>
      <c r="AY14" s="11">
        <f t="shared" si="5"/>
        <v>4</v>
      </c>
      <c r="AZ14" s="13">
        <f t="shared" si="6"/>
        <v>31</v>
      </c>
      <c r="BA14" s="13">
        <f>(Janrepo[[#This Row],[Days]]-Janrepo[[#This Row],[Absent]])</f>
        <v>29</v>
      </c>
      <c r="BB14" s="11">
        <f t="shared" ca="1" si="7"/>
        <v>20093</v>
      </c>
      <c r="BC14" s="13">
        <f ca="1">(Janrepo[[#This Row],[Salary]]/Janrepo[[#This Row],[Paid Days]])</f>
        <v>692.86206896551721</v>
      </c>
      <c r="BD14" s="13">
        <f ca="1">Janrepo[[#This Row],[Paid Days Salary]]*Janrepo[[#This Row],[Absent]]</f>
        <v>1385.7241379310344</v>
      </c>
      <c r="BE14" s="13">
        <f ca="1">(Janrepo[[#This Row],[Salary]]-Janrepo[[#This Row],[Deduction]])</f>
        <v>18707.275862068964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8"/>
        <v>4</v>
      </c>
      <c r="K15" s="34" t="s">
        <v>42</v>
      </c>
      <c r="L15" s="34" t="s">
        <v>42</v>
      </c>
      <c r="M15" s="34" t="s">
        <v>42</v>
      </c>
      <c r="N15" s="34" t="s">
        <v>42</v>
      </c>
      <c r="O15" s="34" t="str">
        <f t="shared" ref="O15:O28" si="10">IF(O$7="Sun","WO","")</f>
        <v>WO</v>
      </c>
      <c r="P15" s="34" t="s">
        <v>42</v>
      </c>
      <c r="Q15" s="34" t="s">
        <v>42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42</v>
      </c>
      <c r="Y15" s="34" t="s">
        <v>42</v>
      </c>
      <c r="Z15" s="34" t="s">
        <v>42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42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42</v>
      </c>
      <c r="AL15" s="34" t="s">
        <v>42</v>
      </c>
      <c r="AM15" s="34" t="s">
        <v>42</v>
      </c>
      <c r="AN15" s="34" t="s">
        <v>42</v>
      </c>
      <c r="AO15" s="28" t="s">
        <v>46</v>
      </c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3"/>
        <v>Jan</v>
      </c>
      <c r="AV15" s="11">
        <f t="shared" si="9"/>
        <v>23</v>
      </c>
      <c r="AW15" s="11">
        <f t="shared" si="4"/>
        <v>0</v>
      </c>
      <c r="AX15" s="11">
        <f>COUNTIF($K$9:$AO15,"L")</f>
        <v>28</v>
      </c>
      <c r="AY15" s="11">
        <f t="shared" si="5"/>
        <v>4</v>
      </c>
      <c r="AZ15" s="13">
        <f t="shared" si="6"/>
        <v>31</v>
      </c>
      <c r="BA15" s="13">
        <f>(Janrepo[[#This Row],[Days]]-Janrepo[[#This Row],[Absent]])</f>
        <v>31</v>
      </c>
      <c r="BB15" s="11">
        <f t="shared" ca="1" si="7"/>
        <v>21076</v>
      </c>
      <c r="BC15" s="13">
        <f ca="1">(Janrepo[[#This Row],[Salary]]/Janrepo[[#This Row],[Paid Days]])</f>
        <v>679.87096774193549</v>
      </c>
      <c r="BD15" s="13">
        <f ca="1">Janrepo[[#This Row],[Paid Days Salary]]*Janrepo[[#This Row],[Absent]]</f>
        <v>0</v>
      </c>
      <c r="BE15" s="13">
        <f ca="1">(Janrepo[[#This Row],[Salary]]-Janrepo[[#This Row],[Deduction]])</f>
        <v>21076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8"/>
        <v>4</v>
      </c>
      <c r="K16" s="34" t="s">
        <v>45</v>
      </c>
      <c r="L16" s="34" t="s">
        <v>42</v>
      </c>
      <c r="M16" s="34" t="s">
        <v>42</v>
      </c>
      <c r="N16" s="34" t="s">
        <v>42</v>
      </c>
      <c r="O16" s="34" t="str">
        <f t="shared" si="10"/>
        <v>WO</v>
      </c>
      <c r="P16" s="34" t="s">
        <v>42</v>
      </c>
      <c r="Q16" s="34" t="s">
        <v>42</v>
      </c>
      <c r="R16" s="34" t="s">
        <v>45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42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42</v>
      </c>
      <c r="AO16" s="28" t="s">
        <v>46</v>
      </c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3"/>
        <v>Jan</v>
      </c>
      <c r="AV16" s="11">
        <f t="shared" si="9"/>
        <v>21</v>
      </c>
      <c r="AW16" s="11">
        <f t="shared" si="4"/>
        <v>2</v>
      </c>
      <c r="AX16" s="11">
        <f>COUNTIF($K$9:$AO16,"L")</f>
        <v>32</v>
      </c>
      <c r="AY16" s="11">
        <f t="shared" si="5"/>
        <v>4</v>
      </c>
      <c r="AZ16" s="13">
        <f t="shared" si="6"/>
        <v>31</v>
      </c>
      <c r="BA16" s="13">
        <f>(Janrepo[[#This Row],[Days]]-Janrepo[[#This Row],[Absent]])</f>
        <v>29</v>
      </c>
      <c r="BB16" s="11">
        <f t="shared" ca="1" si="7"/>
        <v>19125</v>
      </c>
      <c r="BC16" s="13">
        <f ca="1">(Janrepo[[#This Row],[Salary]]/Janrepo[[#This Row],[Paid Days]])</f>
        <v>659.48275862068965</v>
      </c>
      <c r="BD16" s="13">
        <f ca="1">Janrepo[[#This Row],[Paid Days Salary]]*Janrepo[[#This Row],[Absent]]</f>
        <v>1318.9655172413793</v>
      </c>
      <c r="BE16" s="13">
        <f ca="1">(Janrepo[[#This Row],[Salary]]-Janrepo[[#This Row],[Deduction]])</f>
        <v>17806.03448275862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8"/>
        <v>4</v>
      </c>
      <c r="K17" s="34" t="s">
        <v>42</v>
      </c>
      <c r="L17" s="34" t="s">
        <v>42</v>
      </c>
      <c r="M17" s="34" t="s">
        <v>42</v>
      </c>
      <c r="N17" s="34" t="s">
        <v>42</v>
      </c>
      <c r="O17" s="34" t="str">
        <f t="shared" si="10"/>
        <v>WO</v>
      </c>
      <c r="P17" s="34" t="s">
        <v>42</v>
      </c>
      <c r="Q17" s="34" t="s">
        <v>42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42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45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42</v>
      </c>
      <c r="AO17" s="28" t="s">
        <v>46</v>
      </c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3"/>
        <v>Jan</v>
      </c>
      <c r="AV17" s="11">
        <f t="shared" si="9"/>
        <v>22</v>
      </c>
      <c r="AW17" s="11">
        <f t="shared" si="4"/>
        <v>1</v>
      </c>
      <c r="AX17" s="11">
        <f>COUNTIF($K$9:$AO17,"L")</f>
        <v>36</v>
      </c>
      <c r="AY17" s="11">
        <f t="shared" si="5"/>
        <v>4</v>
      </c>
      <c r="AZ17" s="13">
        <f t="shared" si="6"/>
        <v>31</v>
      </c>
      <c r="BA17" s="13">
        <f>(Janrepo[[#This Row],[Days]]-Janrepo[[#This Row],[Absent]])</f>
        <v>30</v>
      </c>
      <c r="BB17" s="11">
        <f t="shared" ca="1" si="7"/>
        <v>10146</v>
      </c>
      <c r="BC17" s="13">
        <f ca="1">(Janrepo[[#This Row],[Salary]]/Janrepo[[#This Row],[Paid Days]])</f>
        <v>338.2</v>
      </c>
      <c r="BD17" s="13">
        <f ca="1">Janrepo[[#This Row],[Paid Days Salary]]*Janrepo[[#This Row],[Absent]]</f>
        <v>338.2</v>
      </c>
      <c r="BE17" s="13">
        <f ca="1">(Janrepo[[#This Row],[Salary]]-Janrepo[[#This Row],[Deduction]])</f>
        <v>9807.7999999999993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8"/>
        <v>4</v>
      </c>
      <c r="K18" s="34" t="s">
        <v>42</v>
      </c>
      <c r="L18" s="34" t="s">
        <v>42</v>
      </c>
      <c r="M18" s="34" t="s">
        <v>42</v>
      </c>
      <c r="N18" s="34" t="s">
        <v>42</v>
      </c>
      <c r="O18" s="34" t="str">
        <f t="shared" si="10"/>
        <v>WO</v>
      </c>
      <c r="P18" s="34" t="s">
        <v>42</v>
      </c>
      <c r="Q18" s="34" t="s">
        <v>42</v>
      </c>
      <c r="R18" s="34" t="s">
        <v>42</v>
      </c>
      <c r="S18" s="34" t="s">
        <v>42</v>
      </c>
      <c r="T18" s="34" t="s">
        <v>42</v>
      </c>
      <c r="U18" s="34" t="s">
        <v>46</v>
      </c>
      <c r="V18" s="34" t="s">
        <v>44</v>
      </c>
      <c r="W18" s="34" t="s">
        <v>42</v>
      </c>
      <c r="X18" s="34" t="s">
        <v>42</v>
      </c>
      <c r="Y18" s="34" t="s">
        <v>45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42</v>
      </c>
      <c r="AF18" s="34" t="s">
        <v>42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42</v>
      </c>
      <c r="AO18" s="28" t="s">
        <v>46</v>
      </c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3"/>
        <v>Jan</v>
      </c>
      <c r="AV18" s="11">
        <f t="shared" si="9"/>
        <v>22</v>
      </c>
      <c r="AW18" s="11">
        <f t="shared" si="4"/>
        <v>1</v>
      </c>
      <c r="AX18" s="11">
        <f>COUNTIF($K$9:$AO18,"L")</f>
        <v>40</v>
      </c>
      <c r="AY18" s="11">
        <f t="shared" si="5"/>
        <v>4</v>
      </c>
      <c r="AZ18" s="13">
        <f t="shared" si="6"/>
        <v>31</v>
      </c>
      <c r="BA18" s="13">
        <f>(Janrepo[[#This Row],[Days]]-Janrepo[[#This Row],[Absent]])</f>
        <v>30</v>
      </c>
      <c r="BB18" s="11">
        <f t="shared" ca="1" si="7"/>
        <v>15327</v>
      </c>
      <c r="BC18" s="13">
        <f ca="1">(Janrepo[[#This Row],[Salary]]/Janrepo[[#This Row],[Paid Days]])</f>
        <v>510.9</v>
      </c>
      <c r="BD18" s="13">
        <f ca="1">Janrepo[[#This Row],[Paid Days Salary]]*Janrepo[[#This Row],[Absent]]</f>
        <v>510.9</v>
      </c>
      <c r="BE18" s="13">
        <f ca="1">(Janrepo[[#This Row],[Salary]]-Janrepo[[#This Row],[Deduction]])</f>
        <v>14816.1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8"/>
        <v>4</v>
      </c>
      <c r="K19" s="34" t="s">
        <v>42</v>
      </c>
      <c r="L19" s="34" t="s">
        <v>42</v>
      </c>
      <c r="M19" s="34" t="s">
        <v>42</v>
      </c>
      <c r="N19" s="34" t="s">
        <v>42</v>
      </c>
      <c r="O19" s="34" t="str">
        <f t="shared" si="10"/>
        <v>WO</v>
      </c>
      <c r="P19" s="34" t="s">
        <v>42</v>
      </c>
      <c r="Q19" s="34" t="s">
        <v>42</v>
      </c>
      <c r="R19" s="34" t="s">
        <v>42</v>
      </c>
      <c r="S19" s="34" t="s">
        <v>42</v>
      </c>
      <c r="T19" s="34" t="s">
        <v>42</v>
      </c>
      <c r="U19" s="34" t="s">
        <v>46</v>
      </c>
      <c r="V19" s="34" t="s">
        <v>44</v>
      </c>
      <c r="W19" s="34" t="s">
        <v>42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45</v>
      </c>
      <c r="AM19" s="34" t="s">
        <v>42</v>
      </c>
      <c r="AN19" s="34" t="s">
        <v>42</v>
      </c>
      <c r="AO19" s="28" t="s">
        <v>46</v>
      </c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3"/>
        <v>Jan</v>
      </c>
      <c r="AV19" s="11">
        <f t="shared" si="9"/>
        <v>22</v>
      </c>
      <c r="AW19" s="11">
        <f t="shared" si="4"/>
        <v>1</v>
      </c>
      <c r="AX19" s="11">
        <f>COUNTIF($K$9:$AO19,"L")</f>
        <v>44</v>
      </c>
      <c r="AY19" s="11">
        <f t="shared" si="5"/>
        <v>4</v>
      </c>
      <c r="AZ19" s="13">
        <f t="shared" si="6"/>
        <v>31</v>
      </c>
      <c r="BA19" s="13">
        <f>(Janrepo[[#This Row],[Days]]-Janrepo[[#This Row],[Absent]])</f>
        <v>30</v>
      </c>
      <c r="BB19" s="11">
        <f t="shared" ca="1" si="7"/>
        <v>16521</v>
      </c>
      <c r="BC19" s="13">
        <f ca="1">(Janrepo[[#This Row],[Salary]]/Janrepo[[#This Row],[Paid Days]])</f>
        <v>550.70000000000005</v>
      </c>
      <c r="BD19" s="13">
        <f ca="1">Janrepo[[#This Row],[Paid Days Salary]]*Janrepo[[#This Row],[Absent]]</f>
        <v>550.70000000000005</v>
      </c>
      <c r="BE19" s="13">
        <f ca="1">(Janrepo[[#This Row],[Salary]]-Janrepo[[#This Row],[Deduction]])</f>
        <v>15970.3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8"/>
        <v>4</v>
      </c>
      <c r="K20" s="34" t="s">
        <v>42</v>
      </c>
      <c r="L20" s="34" t="s">
        <v>42</v>
      </c>
      <c r="M20" s="34" t="s">
        <v>45</v>
      </c>
      <c r="N20" s="34" t="s">
        <v>42</v>
      </c>
      <c r="O20" s="34" t="str">
        <f t="shared" si="10"/>
        <v>WO</v>
      </c>
      <c r="P20" s="34" t="s">
        <v>42</v>
      </c>
      <c r="Q20" s="34" t="s">
        <v>42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45</v>
      </c>
      <c r="X20" s="34" t="s">
        <v>42</v>
      </c>
      <c r="Y20" s="34" t="s">
        <v>42</v>
      </c>
      <c r="Z20" s="34" t="s">
        <v>42</v>
      </c>
      <c r="AA20" s="34" t="s">
        <v>42</v>
      </c>
      <c r="AB20" s="34" t="s">
        <v>46</v>
      </c>
      <c r="AC20" s="34" t="s">
        <v>44</v>
      </c>
      <c r="AD20" s="34" t="s">
        <v>42</v>
      </c>
      <c r="AE20" s="34" t="s">
        <v>45</v>
      </c>
      <c r="AF20" s="34" t="s">
        <v>42</v>
      </c>
      <c r="AG20" s="34" t="s">
        <v>42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42</v>
      </c>
      <c r="AN20" s="34" t="s">
        <v>42</v>
      </c>
      <c r="AO20" s="28" t="s">
        <v>46</v>
      </c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3"/>
        <v>Jan</v>
      </c>
      <c r="AV20" s="11">
        <f t="shared" si="9"/>
        <v>20</v>
      </c>
      <c r="AW20" s="11">
        <f t="shared" si="4"/>
        <v>3</v>
      </c>
      <c r="AX20" s="11">
        <f>COUNTIF($K$9:$AO20,"L")</f>
        <v>48</v>
      </c>
      <c r="AY20" s="11">
        <f t="shared" si="5"/>
        <v>4</v>
      </c>
      <c r="AZ20" s="13">
        <f t="shared" si="6"/>
        <v>31</v>
      </c>
      <c r="BA20" s="13">
        <f>(Janrepo[[#This Row],[Days]]-Janrepo[[#This Row],[Absent]])</f>
        <v>28</v>
      </c>
      <c r="BB20" s="11">
        <f t="shared" ca="1" si="7"/>
        <v>16428</v>
      </c>
      <c r="BC20" s="13">
        <f ca="1">(Janrepo[[#This Row],[Salary]]/Janrepo[[#This Row],[Paid Days]])</f>
        <v>586.71428571428567</v>
      </c>
      <c r="BD20" s="13">
        <f ca="1">Janrepo[[#This Row],[Paid Days Salary]]*Janrepo[[#This Row],[Absent]]</f>
        <v>1760.1428571428569</v>
      </c>
      <c r="BE20" s="13">
        <f ca="1">(Janrepo[[#This Row],[Salary]]-Janrepo[[#This Row],[Deduction]])</f>
        <v>14667.857142857143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8"/>
        <v>4</v>
      </c>
      <c r="K21" s="34" t="s">
        <v>42</v>
      </c>
      <c r="L21" s="34" t="s">
        <v>42</v>
      </c>
      <c r="M21" s="34" t="s">
        <v>42</v>
      </c>
      <c r="N21" s="34" t="s">
        <v>42</v>
      </c>
      <c r="O21" s="34" t="str">
        <f t="shared" si="10"/>
        <v>WO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45</v>
      </c>
      <c r="U21" s="34" t="s">
        <v>46</v>
      </c>
      <c r="V21" s="34" t="s">
        <v>44</v>
      </c>
      <c r="W21" s="34" t="s">
        <v>42</v>
      </c>
      <c r="X21" s="34" t="s">
        <v>42</v>
      </c>
      <c r="Y21" s="34" t="s">
        <v>42</v>
      </c>
      <c r="Z21" s="34" t="s">
        <v>42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42</v>
      </c>
      <c r="AO21" s="28" t="s">
        <v>46</v>
      </c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3"/>
        <v>Jan</v>
      </c>
      <c r="AV21" s="11">
        <f t="shared" si="9"/>
        <v>22</v>
      </c>
      <c r="AW21" s="11">
        <f t="shared" si="4"/>
        <v>1</v>
      </c>
      <c r="AX21" s="11">
        <f>COUNTIF($K$9:$AO21,"L")</f>
        <v>52</v>
      </c>
      <c r="AY21" s="11">
        <f t="shared" si="5"/>
        <v>4</v>
      </c>
      <c r="AZ21" s="13">
        <f t="shared" si="6"/>
        <v>31</v>
      </c>
      <c r="BA21" s="13">
        <f>(Janrepo[[#This Row],[Days]]-Janrepo[[#This Row],[Absent]])</f>
        <v>30</v>
      </c>
      <c r="BB21" s="11">
        <f t="shared" ca="1" si="7"/>
        <v>14310</v>
      </c>
      <c r="BC21" s="13">
        <f ca="1">(Janrepo[[#This Row],[Salary]]/Janrepo[[#This Row],[Paid Days]])</f>
        <v>477</v>
      </c>
      <c r="BD21" s="13">
        <f ca="1">Janrepo[[#This Row],[Paid Days Salary]]*Janrepo[[#This Row],[Absent]]</f>
        <v>477</v>
      </c>
      <c r="BE21" s="13">
        <f ca="1">(Janrepo[[#This Row],[Salary]]-Janrepo[[#This Row],[Deduction]])</f>
        <v>13833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8"/>
        <v>4</v>
      </c>
      <c r="K22" s="34" t="s">
        <v>42</v>
      </c>
      <c r="L22" s="34" t="s">
        <v>42</v>
      </c>
      <c r="M22" s="34" t="s">
        <v>42</v>
      </c>
      <c r="N22" s="34" t="s">
        <v>42</v>
      </c>
      <c r="O22" s="34" t="str">
        <f t="shared" si="10"/>
        <v>WO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42</v>
      </c>
      <c r="AL22" s="34" t="s">
        <v>42</v>
      </c>
      <c r="AM22" s="34" t="s">
        <v>42</v>
      </c>
      <c r="AN22" s="34" t="s">
        <v>42</v>
      </c>
      <c r="AO22" s="28" t="s">
        <v>46</v>
      </c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3"/>
        <v>Jan</v>
      </c>
      <c r="AV22" s="11">
        <f t="shared" si="9"/>
        <v>23</v>
      </c>
      <c r="AW22" s="11">
        <f t="shared" si="4"/>
        <v>0</v>
      </c>
      <c r="AX22" s="11">
        <f>COUNTIF($K$9:$AO22,"L")</f>
        <v>56</v>
      </c>
      <c r="AY22" s="11">
        <f t="shared" si="5"/>
        <v>4</v>
      </c>
      <c r="AZ22" s="13">
        <f t="shared" si="6"/>
        <v>31</v>
      </c>
      <c r="BA22" s="13">
        <f>(Janrepo[[#This Row],[Days]]-Janrepo[[#This Row],[Absent]])</f>
        <v>31</v>
      </c>
      <c r="BB22" s="11">
        <f t="shared" ca="1" si="7"/>
        <v>10088</v>
      </c>
      <c r="BC22" s="13">
        <f ca="1">(Janrepo[[#This Row],[Salary]]/Janrepo[[#This Row],[Paid Days]])</f>
        <v>325.41935483870969</v>
      </c>
      <c r="BD22" s="13">
        <f ca="1">Janrepo[[#This Row],[Paid Days Salary]]*Janrepo[[#This Row],[Absent]]</f>
        <v>0</v>
      </c>
      <c r="BE22" s="13">
        <f ca="1">(Janrepo[[#This Row],[Salary]]-Janrepo[[#This Row],[Deduction]])</f>
        <v>10088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8"/>
        <v>4</v>
      </c>
      <c r="K23" s="34" t="s">
        <v>42</v>
      </c>
      <c r="L23" s="34" t="s">
        <v>42</v>
      </c>
      <c r="M23" s="34" t="s">
        <v>42</v>
      </c>
      <c r="N23" s="34" t="s">
        <v>45</v>
      </c>
      <c r="O23" s="34" t="str">
        <f t="shared" si="10"/>
        <v>WO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42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45</v>
      </c>
      <c r="AL23" s="34" t="s">
        <v>42</v>
      </c>
      <c r="AM23" s="34" t="s">
        <v>42</v>
      </c>
      <c r="AN23" s="34" t="s">
        <v>45</v>
      </c>
      <c r="AO23" s="28" t="s">
        <v>46</v>
      </c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3"/>
        <v>Jan</v>
      </c>
      <c r="AV23" s="11">
        <f t="shared" si="9"/>
        <v>20</v>
      </c>
      <c r="AW23" s="11">
        <f t="shared" si="4"/>
        <v>3</v>
      </c>
      <c r="AX23" s="11">
        <f>COUNTIF($K$9:$AO23,"L")</f>
        <v>60</v>
      </c>
      <c r="AY23" s="11">
        <f t="shared" si="5"/>
        <v>4</v>
      </c>
      <c r="AZ23" s="13">
        <f t="shared" si="6"/>
        <v>31</v>
      </c>
      <c r="BA23" s="13">
        <f>(Janrepo[[#This Row],[Days]]-Janrepo[[#This Row],[Absent]])</f>
        <v>28</v>
      </c>
      <c r="BB23" s="11">
        <f t="shared" ca="1" si="7"/>
        <v>16927</v>
      </c>
      <c r="BC23" s="13">
        <f ca="1">(Janrepo[[#This Row],[Salary]]/Janrepo[[#This Row],[Paid Days]])</f>
        <v>604.53571428571433</v>
      </c>
      <c r="BD23" s="13">
        <f ca="1">Janrepo[[#This Row],[Paid Days Salary]]*Janrepo[[#This Row],[Absent]]</f>
        <v>1813.6071428571431</v>
      </c>
      <c r="BE23" s="13">
        <f ca="1">(Janrepo[[#This Row],[Salary]]-Janrepo[[#This Row],[Deduction]])</f>
        <v>15113.392857142857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8"/>
        <v>4</v>
      </c>
      <c r="K24" s="34" t="s">
        <v>42</v>
      </c>
      <c r="L24" s="34" t="s">
        <v>42</v>
      </c>
      <c r="M24" s="34" t="s">
        <v>42</v>
      </c>
      <c r="N24" s="34" t="s">
        <v>42</v>
      </c>
      <c r="O24" s="34" t="str">
        <f t="shared" si="10"/>
        <v>WO</v>
      </c>
      <c r="P24" s="34" t="s">
        <v>42</v>
      </c>
      <c r="Q24" s="34" t="s">
        <v>42</v>
      </c>
      <c r="R24" s="34" t="s">
        <v>45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42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42</v>
      </c>
      <c r="AN24" s="34" t="s">
        <v>42</v>
      </c>
      <c r="AO24" s="28" t="s">
        <v>46</v>
      </c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3"/>
        <v>Jan</v>
      </c>
      <c r="AV24" s="11">
        <f t="shared" si="9"/>
        <v>22</v>
      </c>
      <c r="AW24" s="11">
        <f t="shared" si="4"/>
        <v>1</v>
      </c>
      <c r="AX24" s="11">
        <f>COUNTIF($K$9:$AO24,"L")</f>
        <v>64</v>
      </c>
      <c r="AY24" s="11">
        <f t="shared" si="5"/>
        <v>4</v>
      </c>
      <c r="AZ24" s="13">
        <f t="shared" si="6"/>
        <v>31</v>
      </c>
      <c r="BA24" s="13">
        <f>(Janrepo[[#This Row],[Days]]-Janrepo[[#This Row],[Absent]])</f>
        <v>30</v>
      </c>
      <c r="BB24" s="11">
        <f t="shared" ca="1" si="7"/>
        <v>23022</v>
      </c>
      <c r="BC24" s="13">
        <f ca="1">(Janrepo[[#This Row],[Salary]]/Janrepo[[#This Row],[Paid Days]])</f>
        <v>767.4</v>
      </c>
      <c r="BD24" s="13">
        <f ca="1">Janrepo[[#This Row],[Paid Days Salary]]*Janrepo[[#This Row],[Absent]]</f>
        <v>767.4</v>
      </c>
      <c r="BE24" s="13">
        <f ca="1">(Janrepo[[#This Row],[Salary]]-Janrepo[[#This Row],[Deduction]])</f>
        <v>22254.6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8"/>
        <v>4</v>
      </c>
      <c r="K25" s="34" t="s">
        <v>45</v>
      </c>
      <c r="L25" s="34" t="s">
        <v>45</v>
      </c>
      <c r="M25" s="34" t="s">
        <v>42</v>
      </c>
      <c r="N25" s="34" t="s">
        <v>42</v>
      </c>
      <c r="O25" s="34" t="str">
        <f t="shared" si="10"/>
        <v>WO</v>
      </c>
      <c r="P25" s="34" t="s">
        <v>42</v>
      </c>
      <c r="Q25" s="34" t="s">
        <v>42</v>
      </c>
      <c r="R25" s="34" t="s">
        <v>42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42</v>
      </c>
      <c r="Z25" s="34" t="s">
        <v>42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42</v>
      </c>
      <c r="AG25" s="34" t="s">
        <v>42</v>
      </c>
      <c r="AH25" s="34" t="s">
        <v>42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42</v>
      </c>
      <c r="AO25" s="28" t="s">
        <v>46</v>
      </c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3"/>
        <v>Jan</v>
      </c>
      <c r="AV25" s="11">
        <f t="shared" si="9"/>
        <v>21</v>
      </c>
      <c r="AW25" s="11">
        <f t="shared" si="4"/>
        <v>2</v>
      </c>
      <c r="AX25" s="11">
        <f>COUNTIF($K$9:$AO25,"L")</f>
        <v>68</v>
      </c>
      <c r="AY25" s="11">
        <f t="shared" si="5"/>
        <v>4</v>
      </c>
      <c r="AZ25" s="13">
        <f t="shared" si="6"/>
        <v>31</v>
      </c>
      <c r="BA25" s="13">
        <f>(Janrepo[[#This Row],[Days]]-Janrepo[[#This Row],[Absent]])</f>
        <v>29</v>
      </c>
      <c r="BB25" s="11">
        <f t="shared" ca="1" si="7"/>
        <v>14629</v>
      </c>
      <c r="BC25" s="13">
        <f ca="1">(Janrepo[[#This Row],[Salary]]/Janrepo[[#This Row],[Paid Days]])</f>
        <v>504.44827586206895</v>
      </c>
      <c r="BD25" s="13">
        <f ca="1">Janrepo[[#This Row],[Paid Days Salary]]*Janrepo[[#This Row],[Absent]]</f>
        <v>1008.8965517241379</v>
      </c>
      <c r="BE25" s="13">
        <f ca="1">(Janrepo[[#This Row],[Salary]]-Janrepo[[#This Row],[Deduction]])</f>
        <v>13620.103448275862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8"/>
        <v>4</v>
      </c>
      <c r="K26" s="34" t="s">
        <v>42</v>
      </c>
      <c r="L26" s="34" t="s">
        <v>42</v>
      </c>
      <c r="M26" s="34" t="s">
        <v>42</v>
      </c>
      <c r="N26" s="34" t="s">
        <v>45</v>
      </c>
      <c r="O26" s="34" t="str">
        <f t="shared" si="10"/>
        <v>WO</v>
      </c>
      <c r="P26" s="34" t="s">
        <v>42</v>
      </c>
      <c r="Q26" s="34" t="s">
        <v>42</v>
      </c>
      <c r="R26" s="34" t="s">
        <v>42</v>
      </c>
      <c r="S26" s="34" t="s">
        <v>42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42</v>
      </c>
      <c r="Y26" s="34" t="s">
        <v>42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42</v>
      </c>
      <c r="AM26" s="34" t="s">
        <v>42</v>
      </c>
      <c r="AN26" s="34" t="s">
        <v>42</v>
      </c>
      <c r="AO26" s="28" t="s">
        <v>46</v>
      </c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3"/>
        <v>Jan</v>
      </c>
      <c r="AV26" s="11">
        <f t="shared" si="9"/>
        <v>22</v>
      </c>
      <c r="AW26" s="11">
        <f t="shared" si="4"/>
        <v>1</v>
      </c>
      <c r="AX26" s="11">
        <f>COUNTIF($K$9:$AO26,"L")</f>
        <v>72</v>
      </c>
      <c r="AY26" s="11">
        <f t="shared" si="5"/>
        <v>4</v>
      </c>
      <c r="AZ26" s="13">
        <f t="shared" si="6"/>
        <v>31</v>
      </c>
      <c r="BA26" s="13">
        <f>(Janrepo[[#This Row],[Days]]-Janrepo[[#This Row],[Absent]])</f>
        <v>30</v>
      </c>
      <c r="BB26" s="11">
        <f t="shared" ca="1" si="7"/>
        <v>20680</v>
      </c>
      <c r="BC26" s="13">
        <f ca="1">(Janrepo[[#This Row],[Salary]]/Janrepo[[#This Row],[Paid Days]])</f>
        <v>689.33333333333337</v>
      </c>
      <c r="BD26" s="13">
        <f ca="1">Janrepo[[#This Row],[Paid Days Salary]]*Janrepo[[#This Row],[Absent]]</f>
        <v>689.33333333333337</v>
      </c>
      <c r="BE26" s="13">
        <f ca="1">(Janrepo[[#This Row],[Salary]]-Janrepo[[#This Row],[Deduction]])</f>
        <v>19990.666666666668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8"/>
        <v>4</v>
      </c>
      <c r="K27" s="34" t="s">
        <v>42</v>
      </c>
      <c r="L27" s="34" t="s">
        <v>42</v>
      </c>
      <c r="M27" s="34" t="s">
        <v>42</v>
      </c>
      <c r="N27" s="34" t="s">
        <v>42</v>
      </c>
      <c r="O27" s="34" t="str">
        <f t="shared" si="10"/>
        <v>WO</v>
      </c>
      <c r="P27" s="34" t="s">
        <v>42</v>
      </c>
      <c r="Q27" s="34" t="s">
        <v>42</v>
      </c>
      <c r="R27" s="34" t="s">
        <v>42</v>
      </c>
      <c r="S27" s="34" t="s">
        <v>42</v>
      </c>
      <c r="T27" s="34" t="s">
        <v>42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45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42</v>
      </c>
      <c r="AN27" s="34" t="s">
        <v>42</v>
      </c>
      <c r="AO27" s="28" t="s">
        <v>46</v>
      </c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3"/>
        <v>Jan</v>
      </c>
      <c r="AV27" s="11">
        <f t="shared" si="9"/>
        <v>22</v>
      </c>
      <c r="AW27" s="11">
        <f t="shared" si="4"/>
        <v>1</v>
      </c>
      <c r="AX27" s="11">
        <f>COUNTIF($K$9:$AO27,"L")</f>
        <v>76</v>
      </c>
      <c r="AY27" s="11">
        <f t="shared" si="5"/>
        <v>4</v>
      </c>
      <c r="AZ27" s="13">
        <f t="shared" si="6"/>
        <v>31</v>
      </c>
      <c r="BA27" s="13">
        <f>(Janrepo[[#This Row],[Days]]-Janrepo[[#This Row],[Absent]])</f>
        <v>30</v>
      </c>
      <c r="BB27" s="11">
        <f t="shared" ca="1" si="7"/>
        <v>20238</v>
      </c>
      <c r="BC27" s="13">
        <f ca="1">(Janrepo[[#This Row],[Salary]]/Janrepo[[#This Row],[Paid Days]])</f>
        <v>674.6</v>
      </c>
      <c r="BD27" s="13">
        <f ca="1">Janrepo[[#This Row],[Paid Days Salary]]*Janrepo[[#This Row],[Absent]]</f>
        <v>674.6</v>
      </c>
      <c r="BE27" s="13">
        <f ca="1">(Janrepo[[#This Row],[Salary]]-Janrepo[[#This Row],[Deduction]])</f>
        <v>19563.400000000001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8"/>
        <v>4</v>
      </c>
      <c r="K28" s="31" t="s">
        <v>42</v>
      </c>
      <c r="L28" s="31" t="s">
        <v>42</v>
      </c>
      <c r="M28" s="31" t="s">
        <v>42</v>
      </c>
      <c r="N28" s="31" t="s">
        <v>42</v>
      </c>
      <c r="O28" s="31" t="str">
        <f t="shared" si="10"/>
        <v>WO</v>
      </c>
      <c r="P28" s="31" t="s">
        <v>42</v>
      </c>
      <c r="Q28" s="31" t="s">
        <v>42</v>
      </c>
      <c r="R28" s="31" t="s">
        <v>42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1" t="s">
        <v>42</v>
      </c>
      <c r="AO28" s="32" t="s">
        <v>46</v>
      </c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3"/>
        <v>Jan</v>
      </c>
      <c r="AV28" s="11">
        <f t="shared" si="9"/>
        <v>23</v>
      </c>
      <c r="AW28" s="11">
        <f t="shared" si="4"/>
        <v>0</v>
      </c>
      <c r="AX28" s="11">
        <f>COUNTIF($K$9:$AO28,"L")</f>
        <v>80</v>
      </c>
      <c r="AY28" s="11">
        <f t="shared" si="5"/>
        <v>4</v>
      </c>
      <c r="AZ28" s="13">
        <f t="shared" si="6"/>
        <v>31</v>
      </c>
      <c r="BA28" s="13">
        <f>(Janrepo[[#This Row],[Days]]-Janrepo[[#This Row],[Absent]])</f>
        <v>31</v>
      </c>
      <c r="BB28" s="11">
        <f t="shared" ca="1" si="7"/>
        <v>21446</v>
      </c>
      <c r="BC28" s="13">
        <f ca="1">(Janrepo[[#This Row],[Salary]]/Janrepo[[#This Row],[Paid Days]])</f>
        <v>691.80645161290317</v>
      </c>
      <c r="BD28" s="13">
        <f ca="1">Janrepo[[#This Row],[Paid Days Salary]]*Janrepo[[#This Row],[Absent]]</f>
        <v>0</v>
      </c>
      <c r="BE28" s="13">
        <f ca="1">(Janrepo[[#This Row],[Salary]]-Janrepo[[#This Row],[Deduction]])</f>
        <v>21446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mergeCells count="1">
    <mergeCell ref="G7:I7"/>
  </mergeCells>
  <conditionalFormatting sqref="K7:AO8 O10:O28 V10:V28 AC10:AC28 AJ10:AJ28">
    <cfRule type="containsText" dxfId="94" priority="8" operator="containsText" text="WO">
      <formula>NOT(ISERROR(SEARCH("WO",K7)))</formula>
    </cfRule>
  </conditionalFormatting>
  <conditionalFormatting sqref="K8:AO8 O10:O28 V10:V28 AC10:AC28 AJ10:AJ28">
    <cfRule type="containsText" dxfId="93" priority="6" operator="containsText" text="A">
      <formula>NOT(ISERROR(SEARCH("A",K8)))</formula>
    </cfRule>
    <cfRule type="containsText" dxfId="92" priority="7" operator="containsText" text="P">
      <formula>NOT(ISERROR(SEARCH("P",K8)))</formula>
    </cfRule>
  </conditionalFormatting>
  <conditionalFormatting sqref="K9:AO28">
    <cfRule type="containsText" dxfId="91" priority="1" operator="containsText" text="A">
      <formula>NOT(ISERROR(SEARCH("A",K9)))</formula>
    </cfRule>
    <cfRule type="containsText" dxfId="90" priority="2" operator="containsText" text="P">
      <formula>NOT(ISERROR(SEARCH("P",K9)))</formula>
    </cfRule>
  </conditionalFormatting>
  <conditionalFormatting sqref="K9:AP9 P9:S28 AB9:AB28 AD9:AI28 AL9:AO28 K10:AO28">
    <cfRule type="containsText" dxfId="89" priority="3" operator="containsText" text="WO">
      <formula>NOT(ISERROR(SEARCH("WO",K9)))</formula>
    </cfRule>
  </conditionalFormatting>
  <conditionalFormatting sqref="O10:O28 V10:V28 AC10:AC28 AJ10:AJ28 K8:AO8">
    <cfRule type="containsText" dxfId="88" priority="5" operator="containsText" text="L">
      <formula>NOT(ISERROR(SEARCH("L",K8)))</formula>
    </cfRule>
  </conditionalFormatting>
  <dataValidations count="1">
    <dataValidation type="list" allowBlank="1" showInputMessage="1" showErrorMessage="1" sqref="K9:AO28" xr:uid="{2AE676AE-415C-433C-B3C8-1A60EA418BA0}">
      <formula1>"P,A,L,WO"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432900-C14E-4EAE-994C-8AB58F7A43E9}">
          <x14:formula1>
            <xm:f>Sheet3!$A$1:$A$12</xm:f>
          </x14:formula1>
          <xm:sqref>H4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5351-EFDD-44EF-AC04-5033C164DEE8}">
  <dimension ref="D1:BG44"/>
  <sheetViews>
    <sheetView topLeftCell="AD1" zoomScale="96" zoomScaleNormal="96" workbookViewId="0">
      <selection activeCell="AR8" sqref="AR8:BE28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45689</v>
      </c>
      <c r="I4" s="19">
        <f>(DATEDIF($H$4,$L$4,"D")+1)</f>
        <v>28</v>
      </c>
      <c r="J4" s="17" t="str">
        <f>TEXT(H4,"mmm")</f>
        <v>Feb</v>
      </c>
      <c r="K4" s="17" t="s">
        <v>27</v>
      </c>
      <c r="L4" s="18">
        <f>EOMONTH(H4,0)</f>
        <v>45716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Sat</v>
      </c>
      <c r="L7" s="5" t="str">
        <f t="shared" ref="L7:AO7" si="0">TEXT(L8,"ddd")</f>
        <v>Sun</v>
      </c>
      <c r="M7" s="5" t="str">
        <f t="shared" si="0"/>
        <v>Mon</v>
      </c>
      <c r="N7" s="5" t="str">
        <f t="shared" si="0"/>
        <v>Tue</v>
      </c>
      <c r="O7" s="5" t="str">
        <f t="shared" si="0"/>
        <v>Wed</v>
      </c>
      <c r="P7" s="5" t="str">
        <f t="shared" si="0"/>
        <v>Thu</v>
      </c>
      <c r="Q7" s="5" t="str">
        <f t="shared" si="0"/>
        <v>Fri</v>
      </c>
      <c r="R7" s="5" t="str">
        <f t="shared" si="0"/>
        <v>Sat</v>
      </c>
      <c r="S7" s="5" t="str">
        <f t="shared" si="0"/>
        <v>Sun</v>
      </c>
      <c r="T7" s="5" t="str">
        <f t="shared" si="0"/>
        <v>Mon</v>
      </c>
      <c r="U7" s="5" t="str">
        <f t="shared" si="0"/>
        <v>Tue</v>
      </c>
      <c r="V7" s="5" t="str">
        <f t="shared" si="0"/>
        <v>Wed</v>
      </c>
      <c r="W7" s="5" t="str">
        <f t="shared" si="0"/>
        <v>Thu</v>
      </c>
      <c r="X7" s="5" t="str">
        <f t="shared" si="0"/>
        <v>Fri</v>
      </c>
      <c r="Y7" s="5" t="str">
        <f t="shared" si="0"/>
        <v>Sat</v>
      </c>
      <c r="Z7" s="5" t="str">
        <f t="shared" si="0"/>
        <v>Sun</v>
      </c>
      <c r="AA7" s="5" t="str">
        <f t="shared" si="0"/>
        <v>Mon</v>
      </c>
      <c r="AB7" s="5" t="str">
        <f t="shared" si="0"/>
        <v>Tue</v>
      </c>
      <c r="AC7" s="5" t="str">
        <f t="shared" si="0"/>
        <v>Wed</v>
      </c>
      <c r="AD7" s="5" t="str">
        <f t="shared" si="0"/>
        <v>Thu</v>
      </c>
      <c r="AE7" s="5" t="str">
        <f t="shared" si="0"/>
        <v>Fri</v>
      </c>
      <c r="AF7" s="5" t="str">
        <f t="shared" si="0"/>
        <v>Sat</v>
      </c>
      <c r="AG7" s="5" t="str">
        <f t="shared" si="0"/>
        <v>Sun</v>
      </c>
      <c r="AH7" s="5" t="str">
        <f t="shared" si="0"/>
        <v>Mon</v>
      </c>
      <c r="AI7" s="5" t="str">
        <f t="shared" si="0"/>
        <v>Tue</v>
      </c>
      <c r="AJ7" s="5" t="str">
        <f t="shared" si="0"/>
        <v>Wed</v>
      </c>
      <c r="AK7" s="5" t="str">
        <f t="shared" si="0"/>
        <v>Thu</v>
      </c>
      <c r="AL7" s="5" t="str">
        <f t="shared" si="0"/>
        <v>Fri</v>
      </c>
      <c r="AM7" s="5" t="str">
        <f t="shared" si="0"/>
        <v/>
      </c>
      <c r="AN7" s="5" t="str">
        <f t="shared" si="0"/>
        <v/>
      </c>
      <c r="AO7" s="6" t="str">
        <f t="shared" si="0"/>
        <v/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45689</v>
      </c>
      <c r="L8" s="23">
        <f t="shared" ref="L8:AO8" si="1">IF(K8&lt;$L$4,K8+1,"")</f>
        <v>45690</v>
      </c>
      <c r="M8" s="23">
        <f t="shared" si="1"/>
        <v>45691</v>
      </c>
      <c r="N8" s="23">
        <f t="shared" si="1"/>
        <v>45692</v>
      </c>
      <c r="O8" s="23">
        <f t="shared" si="1"/>
        <v>45693</v>
      </c>
      <c r="P8" s="23">
        <f t="shared" si="1"/>
        <v>45694</v>
      </c>
      <c r="Q8" s="23">
        <f t="shared" si="1"/>
        <v>45695</v>
      </c>
      <c r="R8" s="23">
        <f t="shared" si="1"/>
        <v>45696</v>
      </c>
      <c r="S8" s="23">
        <f t="shared" si="1"/>
        <v>45697</v>
      </c>
      <c r="T8" s="23">
        <f t="shared" si="1"/>
        <v>45698</v>
      </c>
      <c r="U8" s="23">
        <f t="shared" si="1"/>
        <v>45699</v>
      </c>
      <c r="V8" s="23">
        <f t="shared" si="1"/>
        <v>45700</v>
      </c>
      <c r="W8" s="23">
        <f t="shared" si="1"/>
        <v>45701</v>
      </c>
      <c r="X8" s="23">
        <f t="shared" si="1"/>
        <v>45702</v>
      </c>
      <c r="Y8" s="23">
        <f t="shared" si="1"/>
        <v>45703</v>
      </c>
      <c r="Z8" s="23">
        <f t="shared" si="1"/>
        <v>45704</v>
      </c>
      <c r="AA8" s="23">
        <f t="shared" si="1"/>
        <v>45705</v>
      </c>
      <c r="AB8" s="23">
        <f t="shared" si="1"/>
        <v>45706</v>
      </c>
      <c r="AC8" s="23">
        <f t="shared" si="1"/>
        <v>45707</v>
      </c>
      <c r="AD8" s="23">
        <f t="shared" si="1"/>
        <v>45708</v>
      </c>
      <c r="AE8" s="23">
        <f t="shared" si="1"/>
        <v>45709</v>
      </c>
      <c r="AF8" s="23">
        <f t="shared" si="1"/>
        <v>45710</v>
      </c>
      <c r="AG8" s="23">
        <f t="shared" si="1"/>
        <v>45711</v>
      </c>
      <c r="AH8" s="23">
        <f t="shared" si="1"/>
        <v>45712</v>
      </c>
      <c r="AI8" s="23">
        <f t="shared" si="1"/>
        <v>45713</v>
      </c>
      <c r="AJ8" s="23">
        <f t="shared" si="1"/>
        <v>45714</v>
      </c>
      <c r="AK8" s="23">
        <f t="shared" si="1"/>
        <v>45715</v>
      </c>
      <c r="AL8" s="23">
        <f t="shared" si="1"/>
        <v>45716</v>
      </c>
      <c r="AM8" s="23" t="str">
        <f t="shared" si="1"/>
        <v/>
      </c>
      <c r="AN8" s="23" t="str">
        <f t="shared" si="1"/>
        <v/>
      </c>
      <c r="AO8" s="24" t="str">
        <f t="shared" si="1"/>
        <v/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4</v>
      </c>
      <c r="K9" s="34" t="s">
        <v>42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42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42</v>
      </c>
      <c r="AO9" s="28" t="s">
        <v>42</v>
      </c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Feb</v>
      </c>
      <c r="AV9" s="11">
        <f>COUNTIF($K9:$AO9,"P")</f>
        <v>23</v>
      </c>
      <c r="AW9" s="11">
        <f>COUNTIF($K9:$AO9,"A")</f>
        <v>0</v>
      </c>
      <c r="AX9" s="11">
        <f t="shared" ref="AX9:AX28" si="3">COUNTIF(K$9:AO$9,"L")</f>
        <v>4</v>
      </c>
      <c r="AY9" s="11">
        <f t="shared" ref="AY9:AY28" si="4">$J$9</f>
        <v>4</v>
      </c>
      <c r="AZ9" s="13">
        <f t="shared" ref="AZ9:AZ28" si="5">$I$4</f>
        <v>28</v>
      </c>
      <c r="BA9" s="13">
        <f>(febrepo[[#This Row],[Days]]-febrepo[[#This Row],[Absent]])</f>
        <v>28</v>
      </c>
      <c r="BB9" s="11">
        <f t="shared" ref="BB9:BB28" ca="1" si="6">RANDBETWEEN(10000,25000)</f>
        <v>21905</v>
      </c>
      <c r="BC9" s="13">
        <f ca="1">(febrepo[[#This Row],[Salary]]/febrepo[[#This Row],[Paid Days]])</f>
        <v>782.32142857142856</v>
      </c>
      <c r="BD9" s="13">
        <f ca="1">febrepo[[#This Row],[Paid Days Salary]]*febrepo[[#This Row],[Absent]]</f>
        <v>0</v>
      </c>
      <c r="BE9" s="13">
        <f ca="1">febrepo[[#This Row],[Salary]]-febrepo[[#This Row],[Deduction]]</f>
        <v>21905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7">COUNTIF($K$7:$AO$7,"Sun")</f>
        <v>4</v>
      </c>
      <c r="K10" s="34" t="s">
        <v>45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45</v>
      </c>
      <c r="Q10" s="34" t="s">
        <v>42</v>
      </c>
      <c r="R10" s="34" t="s">
        <v>42</v>
      </c>
      <c r="S10" s="34" t="s">
        <v>42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42</v>
      </c>
      <c r="AN10" s="34" t="s">
        <v>42</v>
      </c>
      <c r="AO10" s="28" t="s">
        <v>42</v>
      </c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Feb</v>
      </c>
      <c r="AV10" s="11">
        <f t="shared" ref="AV10:AV28" si="8">COUNTIF($K10:$AO10,"P")</f>
        <v>21</v>
      </c>
      <c r="AW10" s="11">
        <f t="shared" ref="AW10:AW28" si="9">COUNTIF($K10:$AO10,"A")</f>
        <v>2</v>
      </c>
      <c r="AX10" s="11">
        <f>COUNTIF(K$9:AO$9,"L")</f>
        <v>4</v>
      </c>
      <c r="AY10" s="11">
        <f t="shared" si="4"/>
        <v>4</v>
      </c>
      <c r="AZ10" s="13">
        <f t="shared" si="5"/>
        <v>28</v>
      </c>
      <c r="BA10" s="13">
        <f>(febrepo[[#This Row],[Days]]-febrepo[[#This Row],[Absent]])</f>
        <v>26</v>
      </c>
      <c r="BB10" s="11">
        <f t="shared" ca="1" si="6"/>
        <v>11669</v>
      </c>
      <c r="BC10" s="13">
        <f ca="1">(febrepo[[#This Row],[Salary]]/febrepo[[#This Row],[Paid Days]])</f>
        <v>448.80769230769232</v>
      </c>
      <c r="BD10" s="13">
        <f ca="1">febrepo[[#This Row],[Paid Days Salary]]*febrepo[[#This Row],[Absent]]</f>
        <v>897.61538461538464</v>
      </c>
      <c r="BE10" s="13">
        <f ca="1">febrepo[[#This Row],[Salary]]-febrepo[[#This Row],[Deduction]]</f>
        <v>10771.384615384615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7"/>
        <v>4</v>
      </c>
      <c r="K11" s="34" t="s">
        <v>42</v>
      </c>
      <c r="L11" s="34" t="s">
        <v>42</v>
      </c>
      <c r="M11" s="34" t="s">
        <v>42</v>
      </c>
      <c r="N11" s="34" t="s">
        <v>46</v>
      </c>
      <c r="O11" s="34" t="s">
        <v>44</v>
      </c>
      <c r="P11" s="34" t="s">
        <v>42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42</v>
      </c>
      <c r="X11" s="34" t="s">
        <v>42</v>
      </c>
      <c r="Y11" s="34" t="s">
        <v>42</v>
      </c>
      <c r="Z11" s="34" t="s">
        <v>42</v>
      </c>
      <c r="AA11" s="34" t="s">
        <v>42</v>
      </c>
      <c r="AB11" s="34" t="s">
        <v>46</v>
      </c>
      <c r="AC11" s="34" t="s">
        <v>44</v>
      </c>
      <c r="AD11" s="34" t="s">
        <v>42</v>
      </c>
      <c r="AE11" s="34" t="s">
        <v>42</v>
      </c>
      <c r="AF11" s="34" t="s">
        <v>42</v>
      </c>
      <c r="AG11" s="34" t="s">
        <v>42</v>
      </c>
      <c r="AH11" s="34" t="s">
        <v>42</v>
      </c>
      <c r="AI11" s="34" t="s">
        <v>46</v>
      </c>
      <c r="AJ11" s="34" t="s">
        <v>44</v>
      </c>
      <c r="AK11" s="34" t="s">
        <v>42</v>
      </c>
      <c r="AL11" s="34" t="s">
        <v>42</v>
      </c>
      <c r="AM11" s="34" t="s">
        <v>42</v>
      </c>
      <c r="AN11" s="34" t="s">
        <v>42</v>
      </c>
      <c r="AO11" s="28" t="s">
        <v>42</v>
      </c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Feb</v>
      </c>
      <c r="AV11" s="11">
        <f t="shared" si="8"/>
        <v>23</v>
      </c>
      <c r="AW11" s="11">
        <f t="shared" si="9"/>
        <v>0</v>
      </c>
      <c r="AX11" s="11">
        <f t="shared" si="3"/>
        <v>4</v>
      </c>
      <c r="AY11" s="11">
        <f t="shared" si="4"/>
        <v>4</v>
      </c>
      <c r="AZ11" s="13">
        <f t="shared" si="5"/>
        <v>28</v>
      </c>
      <c r="BA11" s="13">
        <f>(febrepo[[#This Row],[Days]]-febrepo[[#This Row],[Absent]])</f>
        <v>28</v>
      </c>
      <c r="BB11" s="11">
        <f t="shared" ca="1" si="6"/>
        <v>21640</v>
      </c>
      <c r="BC11" s="13">
        <f ca="1">(febrepo[[#This Row],[Salary]]/febrepo[[#This Row],[Paid Days]])</f>
        <v>772.85714285714289</v>
      </c>
      <c r="BD11" s="13">
        <f ca="1">febrepo[[#This Row],[Paid Days Salary]]*febrepo[[#This Row],[Absent]]</f>
        <v>0</v>
      </c>
      <c r="BE11" s="13">
        <f ca="1">febrepo[[#This Row],[Salary]]-febrepo[[#This Row],[Deduction]]</f>
        <v>21640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7"/>
        <v>4</v>
      </c>
      <c r="K12" s="34" t="s">
        <v>42</v>
      </c>
      <c r="L12" s="34" t="s">
        <v>42</v>
      </c>
      <c r="M12" s="34" t="s">
        <v>42</v>
      </c>
      <c r="N12" s="34" t="s">
        <v>46</v>
      </c>
      <c r="O12" s="34" t="s">
        <v>44</v>
      </c>
      <c r="P12" s="34" t="s">
        <v>42</v>
      </c>
      <c r="Q12" s="34" t="s">
        <v>42</v>
      </c>
      <c r="R12" s="34" t="s">
        <v>42</v>
      </c>
      <c r="S12" s="34" t="s">
        <v>45</v>
      </c>
      <c r="T12" s="34" t="s">
        <v>42</v>
      </c>
      <c r="U12" s="34" t="s">
        <v>46</v>
      </c>
      <c r="V12" s="34" t="s">
        <v>44</v>
      </c>
      <c r="W12" s="34" t="s">
        <v>42</v>
      </c>
      <c r="X12" s="34" t="s">
        <v>45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42</v>
      </c>
      <c r="AE12" s="34" t="s">
        <v>42</v>
      </c>
      <c r="AF12" s="34" t="s">
        <v>45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42</v>
      </c>
      <c r="AL12" s="34" t="s">
        <v>42</v>
      </c>
      <c r="AM12" s="34" t="s">
        <v>42</v>
      </c>
      <c r="AN12" s="34" t="s">
        <v>42</v>
      </c>
      <c r="AO12" s="28" t="s">
        <v>42</v>
      </c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Feb</v>
      </c>
      <c r="AV12" s="11">
        <f t="shared" si="8"/>
        <v>20</v>
      </c>
      <c r="AW12" s="11">
        <f t="shared" si="9"/>
        <v>3</v>
      </c>
      <c r="AX12" s="11">
        <f t="shared" si="3"/>
        <v>4</v>
      </c>
      <c r="AY12" s="11">
        <f t="shared" si="4"/>
        <v>4</v>
      </c>
      <c r="AZ12" s="13">
        <f t="shared" si="5"/>
        <v>28</v>
      </c>
      <c r="BA12" s="13">
        <f>(febrepo[[#This Row],[Days]]-febrepo[[#This Row],[Absent]])</f>
        <v>25</v>
      </c>
      <c r="BB12" s="11">
        <f t="shared" ca="1" si="6"/>
        <v>24851</v>
      </c>
      <c r="BC12" s="13">
        <f ca="1">(febrepo[[#This Row],[Salary]]/febrepo[[#This Row],[Paid Days]])</f>
        <v>994.04</v>
      </c>
      <c r="BD12" s="13">
        <f ca="1">febrepo[[#This Row],[Paid Days Salary]]*febrepo[[#This Row],[Absent]]</f>
        <v>2982.12</v>
      </c>
      <c r="BE12" s="13">
        <f ca="1">febrepo[[#This Row],[Salary]]-febrepo[[#This Row],[Deduction]]</f>
        <v>21868.880000000001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7"/>
        <v>4</v>
      </c>
      <c r="K13" s="34" t="s">
        <v>42</v>
      </c>
      <c r="L13" s="34" t="s">
        <v>45</v>
      </c>
      <c r="M13" s="34" t="s">
        <v>42</v>
      </c>
      <c r="N13" s="34" t="s">
        <v>46</v>
      </c>
      <c r="O13" s="34" t="s">
        <v>44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42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42</v>
      </c>
      <c r="AN13" s="34" t="s">
        <v>42</v>
      </c>
      <c r="AO13" s="28" t="s">
        <v>42</v>
      </c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Feb</v>
      </c>
      <c r="AV13" s="11">
        <f t="shared" si="8"/>
        <v>22</v>
      </c>
      <c r="AW13" s="11">
        <f t="shared" si="9"/>
        <v>1</v>
      </c>
      <c r="AX13" s="11">
        <f t="shared" si="3"/>
        <v>4</v>
      </c>
      <c r="AY13" s="11">
        <f t="shared" si="4"/>
        <v>4</v>
      </c>
      <c r="AZ13" s="13">
        <f t="shared" si="5"/>
        <v>28</v>
      </c>
      <c r="BA13" s="13">
        <f>(febrepo[[#This Row],[Days]]-febrepo[[#This Row],[Absent]])</f>
        <v>27</v>
      </c>
      <c r="BB13" s="11">
        <f t="shared" ca="1" si="6"/>
        <v>15301</v>
      </c>
      <c r="BC13" s="13">
        <f ca="1">(febrepo[[#This Row],[Salary]]/febrepo[[#This Row],[Paid Days]])</f>
        <v>566.7037037037037</v>
      </c>
      <c r="BD13" s="13">
        <f ca="1">febrepo[[#This Row],[Paid Days Salary]]*febrepo[[#This Row],[Absent]]</f>
        <v>566.7037037037037</v>
      </c>
      <c r="BE13" s="13">
        <f ca="1">febrepo[[#This Row],[Salary]]-febrepo[[#This Row],[Deduction]]</f>
        <v>14734.296296296296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7"/>
        <v>4</v>
      </c>
      <c r="K14" s="34" t="s">
        <v>42</v>
      </c>
      <c r="L14" s="34" t="s">
        <v>42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42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42</v>
      </c>
      <c r="AL14" s="34" t="s">
        <v>42</v>
      </c>
      <c r="AM14" s="34" t="s">
        <v>45</v>
      </c>
      <c r="AN14" s="34" t="s">
        <v>42</v>
      </c>
      <c r="AO14" s="28" t="s">
        <v>42</v>
      </c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Feb</v>
      </c>
      <c r="AV14" s="11">
        <f t="shared" si="8"/>
        <v>22</v>
      </c>
      <c r="AW14" s="11">
        <f t="shared" si="9"/>
        <v>1</v>
      </c>
      <c r="AX14" s="11">
        <f t="shared" si="3"/>
        <v>4</v>
      </c>
      <c r="AY14" s="11">
        <f t="shared" si="4"/>
        <v>4</v>
      </c>
      <c r="AZ14" s="13">
        <f t="shared" si="5"/>
        <v>28</v>
      </c>
      <c r="BA14" s="13">
        <f>(febrepo[[#This Row],[Days]]-febrepo[[#This Row],[Absent]])</f>
        <v>27</v>
      </c>
      <c r="BB14" s="11">
        <f t="shared" ca="1" si="6"/>
        <v>15004</v>
      </c>
      <c r="BC14" s="13">
        <f ca="1">(febrepo[[#This Row],[Salary]]/febrepo[[#This Row],[Paid Days]])</f>
        <v>555.7037037037037</v>
      </c>
      <c r="BD14" s="13">
        <f ca="1">febrepo[[#This Row],[Paid Days Salary]]*febrepo[[#This Row],[Absent]]</f>
        <v>555.7037037037037</v>
      </c>
      <c r="BE14" s="13">
        <f ca="1">febrepo[[#This Row],[Salary]]-febrepo[[#This Row],[Deduction]]</f>
        <v>14448.296296296296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7"/>
        <v>4</v>
      </c>
      <c r="K15" s="34" t="s">
        <v>42</v>
      </c>
      <c r="L15" s="34" t="s">
        <v>42</v>
      </c>
      <c r="M15" s="34" t="s">
        <v>42</v>
      </c>
      <c r="N15" s="34" t="s">
        <v>46</v>
      </c>
      <c r="O15" s="34" t="s">
        <v>44</v>
      </c>
      <c r="P15" s="34" t="s">
        <v>42</v>
      </c>
      <c r="Q15" s="34" t="s">
        <v>42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42</v>
      </c>
      <c r="Y15" s="34" t="s">
        <v>42</v>
      </c>
      <c r="Z15" s="34" t="s">
        <v>45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42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45</v>
      </c>
      <c r="AL15" s="34" t="s">
        <v>42</v>
      </c>
      <c r="AM15" s="34" t="s">
        <v>42</v>
      </c>
      <c r="AN15" s="34" t="s">
        <v>42</v>
      </c>
      <c r="AO15" s="28" t="s">
        <v>42</v>
      </c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Feb</v>
      </c>
      <c r="AV15" s="11">
        <f t="shared" si="8"/>
        <v>21</v>
      </c>
      <c r="AW15" s="11">
        <f t="shared" si="9"/>
        <v>2</v>
      </c>
      <c r="AX15" s="11">
        <f t="shared" si="3"/>
        <v>4</v>
      </c>
      <c r="AY15" s="11">
        <f t="shared" si="4"/>
        <v>4</v>
      </c>
      <c r="AZ15" s="13">
        <f t="shared" si="5"/>
        <v>28</v>
      </c>
      <c r="BA15" s="13">
        <f>(febrepo[[#This Row],[Days]]-febrepo[[#This Row],[Absent]])</f>
        <v>26</v>
      </c>
      <c r="BB15" s="11">
        <f t="shared" ca="1" si="6"/>
        <v>13931</v>
      </c>
      <c r="BC15" s="13">
        <f ca="1">(febrepo[[#This Row],[Salary]]/febrepo[[#This Row],[Paid Days]])</f>
        <v>535.80769230769226</v>
      </c>
      <c r="BD15" s="13">
        <f ca="1">febrepo[[#This Row],[Paid Days Salary]]*febrepo[[#This Row],[Absent]]</f>
        <v>1071.6153846153845</v>
      </c>
      <c r="BE15" s="13">
        <f ca="1">febrepo[[#This Row],[Salary]]-febrepo[[#This Row],[Deduction]]</f>
        <v>12859.384615384615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7"/>
        <v>4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45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42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42</v>
      </c>
      <c r="AO16" s="28" t="s">
        <v>42</v>
      </c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Feb</v>
      </c>
      <c r="AV16" s="11">
        <f t="shared" si="8"/>
        <v>22</v>
      </c>
      <c r="AW16" s="11">
        <f t="shared" si="9"/>
        <v>1</v>
      </c>
      <c r="AX16" s="11">
        <f t="shared" si="3"/>
        <v>4</v>
      </c>
      <c r="AY16" s="11">
        <f t="shared" si="4"/>
        <v>4</v>
      </c>
      <c r="AZ16" s="13">
        <f t="shared" si="5"/>
        <v>28</v>
      </c>
      <c r="BA16" s="13">
        <f>(febrepo[[#This Row],[Days]]-febrepo[[#This Row],[Absent]])</f>
        <v>27</v>
      </c>
      <c r="BB16" s="11">
        <f t="shared" ca="1" si="6"/>
        <v>13606</v>
      </c>
      <c r="BC16" s="13">
        <f ca="1">(febrepo[[#This Row],[Salary]]/febrepo[[#This Row],[Paid Days]])</f>
        <v>503.92592592592592</v>
      </c>
      <c r="BD16" s="13">
        <f ca="1">febrepo[[#This Row],[Paid Days Salary]]*febrepo[[#This Row],[Absent]]</f>
        <v>503.92592592592592</v>
      </c>
      <c r="BE16" s="13">
        <f ca="1">febrepo[[#This Row],[Salary]]-febrepo[[#This Row],[Deduction]]</f>
        <v>13102.074074074075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7"/>
        <v>4</v>
      </c>
      <c r="K17" s="34" t="s">
        <v>42</v>
      </c>
      <c r="L17" s="34" t="s">
        <v>42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42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42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42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42</v>
      </c>
      <c r="AO17" s="28" t="s">
        <v>42</v>
      </c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Feb</v>
      </c>
      <c r="AV17" s="11">
        <f t="shared" si="8"/>
        <v>23</v>
      </c>
      <c r="AW17" s="11">
        <f t="shared" si="9"/>
        <v>0</v>
      </c>
      <c r="AX17" s="11">
        <f t="shared" si="3"/>
        <v>4</v>
      </c>
      <c r="AY17" s="11">
        <f t="shared" si="4"/>
        <v>4</v>
      </c>
      <c r="AZ17" s="13">
        <f t="shared" si="5"/>
        <v>28</v>
      </c>
      <c r="BA17" s="13">
        <f>(febrepo[[#This Row],[Days]]-febrepo[[#This Row],[Absent]])</f>
        <v>28</v>
      </c>
      <c r="BB17" s="11">
        <f t="shared" ca="1" si="6"/>
        <v>16771</v>
      </c>
      <c r="BC17" s="13">
        <f ca="1">(febrepo[[#This Row],[Salary]]/febrepo[[#This Row],[Paid Days]])</f>
        <v>598.96428571428567</v>
      </c>
      <c r="BD17" s="13">
        <f ca="1">febrepo[[#This Row],[Paid Days Salary]]*febrepo[[#This Row],[Absent]]</f>
        <v>0</v>
      </c>
      <c r="BE17" s="13">
        <f ca="1">febrepo[[#This Row],[Salary]]-febrepo[[#This Row],[Deduction]]</f>
        <v>16771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7"/>
        <v>4</v>
      </c>
      <c r="K18" s="34" t="s">
        <v>42</v>
      </c>
      <c r="L18" s="34" t="s">
        <v>42</v>
      </c>
      <c r="M18" s="34" t="s">
        <v>42</v>
      </c>
      <c r="N18" s="34" t="s">
        <v>46</v>
      </c>
      <c r="O18" s="34" t="s">
        <v>44</v>
      </c>
      <c r="P18" s="34" t="s">
        <v>42</v>
      </c>
      <c r="Q18" s="34" t="s">
        <v>42</v>
      </c>
      <c r="R18" s="34" t="s">
        <v>42</v>
      </c>
      <c r="S18" s="34" t="s">
        <v>42</v>
      </c>
      <c r="T18" s="34" t="s">
        <v>42</v>
      </c>
      <c r="U18" s="34" t="s">
        <v>46</v>
      </c>
      <c r="V18" s="34" t="s">
        <v>44</v>
      </c>
      <c r="W18" s="34" t="s">
        <v>42</v>
      </c>
      <c r="X18" s="34" t="s">
        <v>42</v>
      </c>
      <c r="Y18" s="34" t="s">
        <v>42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42</v>
      </c>
      <c r="AF18" s="34" t="s">
        <v>45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42</v>
      </c>
      <c r="AO18" s="28" t="s">
        <v>42</v>
      </c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Feb</v>
      </c>
      <c r="AV18" s="11">
        <f t="shared" si="8"/>
        <v>22</v>
      </c>
      <c r="AW18" s="11">
        <f t="shared" si="9"/>
        <v>1</v>
      </c>
      <c r="AX18" s="11">
        <f t="shared" si="3"/>
        <v>4</v>
      </c>
      <c r="AY18" s="11">
        <f t="shared" si="4"/>
        <v>4</v>
      </c>
      <c r="AZ18" s="13">
        <f t="shared" si="5"/>
        <v>28</v>
      </c>
      <c r="BA18" s="13">
        <f>(febrepo[[#This Row],[Days]]-febrepo[[#This Row],[Absent]])</f>
        <v>27</v>
      </c>
      <c r="BB18" s="11">
        <f t="shared" ca="1" si="6"/>
        <v>17604</v>
      </c>
      <c r="BC18" s="13">
        <f ca="1">(febrepo[[#This Row],[Salary]]/febrepo[[#This Row],[Paid Days]])</f>
        <v>652</v>
      </c>
      <c r="BD18" s="13">
        <f ca="1">febrepo[[#This Row],[Paid Days Salary]]*febrepo[[#This Row],[Absent]]</f>
        <v>652</v>
      </c>
      <c r="BE18" s="13">
        <f ca="1">febrepo[[#This Row],[Salary]]-febrepo[[#This Row],[Deduction]]</f>
        <v>16952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7"/>
        <v>4</v>
      </c>
      <c r="K19" s="34" t="s">
        <v>42</v>
      </c>
      <c r="L19" s="34" t="s">
        <v>42</v>
      </c>
      <c r="M19" s="34" t="s">
        <v>42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42</v>
      </c>
      <c r="T19" s="34" t="s">
        <v>42</v>
      </c>
      <c r="U19" s="34" t="s">
        <v>46</v>
      </c>
      <c r="V19" s="34" t="s">
        <v>44</v>
      </c>
      <c r="W19" s="34" t="s">
        <v>42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42</v>
      </c>
      <c r="AN19" s="34" t="s">
        <v>45</v>
      </c>
      <c r="AO19" s="28" t="s">
        <v>42</v>
      </c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Feb</v>
      </c>
      <c r="AV19" s="11">
        <f t="shared" si="8"/>
        <v>22</v>
      </c>
      <c r="AW19" s="11">
        <f t="shared" si="9"/>
        <v>1</v>
      </c>
      <c r="AX19" s="11">
        <f t="shared" si="3"/>
        <v>4</v>
      </c>
      <c r="AY19" s="11">
        <f t="shared" si="4"/>
        <v>4</v>
      </c>
      <c r="AZ19" s="13">
        <f t="shared" si="5"/>
        <v>28</v>
      </c>
      <c r="BA19" s="13">
        <f>(febrepo[[#This Row],[Days]]-febrepo[[#This Row],[Absent]])</f>
        <v>27</v>
      </c>
      <c r="BB19" s="11">
        <f t="shared" ca="1" si="6"/>
        <v>20807</v>
      </c>
      <c r="BC19" s="13">
        <f ca="1">(febrepo[[#This Row],[Salary]]/febrepo[[#This Row],[Paid Days]])</f>
        <v>770.62962962962968</v>
      </c>
      <c r="BD19" s="13">
        <f ca="1">febrepo[[#This Row],[Paid Days Salary]]*febrepo[[#This Row],[Absent]]</f>
        <v>770.62962962962968</v>
      </c>
      <c r="BE19" s="13">
        <f ca="1">febrepo[[#This Row],[Salary]]-febrepo[[#This Row],[Deduction]]</f>
        <v>20036.370370370369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7"/>
        <v>4</v>
      </c>
      <c r="K20" s="34" t="s">
        <v>42</v>
      </c>
      <c r="L20" s="34" t="s">
        <v>42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42</v>
      </c>
      <c r="R20" s="34" t="s">
        <v>42</v>
      </c>
      <c r="S20" s="34" t="s">
        <v>45</v>
      </c>
      <c r="T20" s="34" t="s">
        <v>42</v>
      </c>
      <c r="U20" s="34" t="s">
        <v>46</v>
      </c>
      <c r="V20" s="34" t="s">
        <v>44</v>
      </c>
      <c r="W20" s="34" t="s">
        <v>45</v>
      </c>
      <c r="X20" s="34" t="s">
        <v>42</v>
      </c>
      <c r="Y20" s="34" t="s">
        <v>42</v>
      </c>
      <c r="Z20" s="34" t="s">
        <v>45</v>
      </c>
      <c r="AA20" s="34" t="s">
        <v>42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42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45</v>
      </c>
      <c r="AM20" s="34" t="s">
        <v>42</v>
      </c>
      <c r="AN20" s="34" t="s">
        <v>42</v>
      </c>
      <c r="AO20" s="28" t="s">
        <v>42</v>
      </c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Feb</v>
      </c>
      <c r="AV20" s="11">
        <f t="shared" si="8"/>
        <v>19</v>
      </c>
      <c r="AW20" s="11">
        <f t="shared" si="9"/>
        <v>4</v>
      </c>
      <c r="AX20" s="11">
        <f t="shared" si="3"/>
        <v>4</v>
      </c>
      <c r="AY20" s="11">
        <f t="shared" si="4"/>
        <v>4</v>
      </c>
      <c r="AZ20" s="13">
        <f t="shared" si="5"/>
        <v>28</v>
      </c>
      <c r="BA20" s="13">
        <f>(febrepo[[#This Row],[Days]]-febrepo[[#This Row],[Absent]])</f>
        <v>24</v>
      </c>
      <c r="BB20" s="11">
        <f t="shared" ca="1" si="6"/>
        <v>12538</v>
      </c>
      <c r="BC20" s="13">
        <f ca="1">(febrepo[[#This Row],[Salary]]/febrepo[[#This Row],[Paid Days]])</f>
        <v>522.41666666666663</v>
      </c>
      <c r="BD20" s="13">
        <f ca="1">febrepo[[#This Row],[Paid Days Salary]]*febrepo[[#This Row],[Absent]]</f>
        <v>2089.6666666666665</v>
      </c>
      <c r="BE20" s="13">
        <f ca="1">febrepo[[#This Row],[Salary]]-febrepo[[#This Row],[Deduction]]</f>
        <v>10448.333333333334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7"/>
        <v>4</v>
      </c>
      <c r="K21" s="34" t="s">
        <v>42</v>
      </c>
      <c r="L21" s="34" t="s">
        <v>42</v>
      </c>
      <c r="M21" s="34" t="s">
        <v>42</v>
      </c>
      <c r="N21" s="34" t="s">
        <v>46</v>
      </c>
      <c r="O21" s="34" t="s">
        <v>44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42</v>
      </c>
      <c r="U21" s="34" t="s">
        <v>46</v>
      </c>
      <c r="V21" s="34" t="s">
        <v>44</v>
      </c>
      <c r="W21" s="34" t="s">
        <v>42</v>
      </c>
      <c r="X21" s="34" t="s">
        <v>42</v>
      </c>
      <c r="Y21" s="34" t="s">
        <v>45</v>
      </c>
      <c r="Z21" s="34" t="s">
        <v>42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42</v>
      </c>
      <c r="AO21" s="28" t="s">
        <v>42</v>
      </c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Feb</v>
      </c>
      <c r="AV21" s="11">
        <f t="shared" si="8"/>
        <v>22</v>
      </c>
      <c r="AW21" s="11">
        <f t="shared" si="9"/>
        <v>1</v>
      </c>
      <c r="AX21" s="11">
        <f t="shared" si="3"/>
        <v>4</v>
      </c>
      <c r="AY21" s="11">
        <f t="shared" si="4"/>
        <v>4</v>
      </c>
      <c r="AZ21" s="13">
        <f t="shared" si="5"/>
        <v>28</v>
      </c>
      <c r="BA21" s="13">
        <f>(febrepo[[#This Row],[Days]]-febrepo[[#This Row],[Absent]])</f>
        <v>27</v>
      </c>
      <c r="BB21" s="11">
        <f t="shared" ca="1" si="6"/>
        <v>12495</v>
      </c>
      <c r="BC21" s="13">
        <f ca="1">(febrepo[[#This Row],[Salary]]/febrepo[[#This Row],[Paid Days]])</f>
        <v>462.77777777777777</v>
      </c>
      <c r="BD21" s="13">
        <f ca="1">febrepo[[#This Row],[Paid Days Salary]]*febrepo[[#This Row],[Absent]]</f>
        <v>462.77777777777777</v>
      </c>
      <c r="BE21" s="13">
        <f ca="1">febrepo[[#This Row],[Salary]]-febrepo[[#This Row],[Deduction]]</f>
        <v>12032.222222222223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7"/>
        <v>4</v>
      </c>
      <c r="K22" s="34" t="s">
        <v>42</v>
      </c>
      <c r="L22" s="34" t="s">
        <v>45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45</v>
      </c>
      <c r="AL22" s="34" t="s">
        <v>42</v>
      </c>
      <c r="AM22" s="34" t="s">
        <v>42</v>
      </c>
      <c r="AN22" s="34" t="s">
        <v>42</v>
      </c>
      <c r="AO22" s="28" t="s">
        <v>42</v>
      </c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Feb</v>
      </c>
      <c r="AV22" s="11">
        <f t="shared" si="8"/>
        <v>21</v>
      </c>
      <c r="AW22" s="11">
        <f t="shared" si="9"/>
        <v>2</v>
      </c>
      <c r="AX22" s="11">
        <f t="shared" si="3"/>
        <v>4</v>
      </c>
      <c r="AY22" s="11">
        <f t="shared" si="4"/>
        <v>4</v>
      </c>
      <c r="AZ22" s="13">
        <f t="shared" si="5"/>
        <v>28</v>
      </c>
      <c r="BA22" s="13">
        <f>(febrepo[[#This Row],[Days]]-febrepo[[#This Row],[Absent]])</f>
        <v>26</v>
      </c>
      <c r="BB22" s="11">
        <f t="shared" ca="1" si="6"/>
        <v>18708</v>
      </c>
      <c r="BC22" s="13">
        <f ca="1">(febrepo[[#This Row],[Salary]]/febrepo[[#This Row],[Paid Days]])</f>
        <v>719.53846153846155</v>
      </c>
      <c r="BD22" s="13">
        <f ca="1">febrepo[[#This Row],[Paid Days Salary]]*febrepo[[#This Row],[Absent]]</f>
        <v>1439.0769230769231</v>
      </c>
      <c r="BE22" s="13">
        <f ca="1">febrepo[[#This Row],[Salary]]-febrepo[[#This Row],[Deduction]]</f>
        <v>17268.923076923078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7"/>
        <v>4</v>
      </c>
      <c r="K23" s="34" t="s">
        <v>42</v>
      </c>
      <c r="L23" s="34" t="s">
        <v>42</v>
      </c>
      <c r="M23" s="34" t="s">
        <v>42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42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42</v>
      </c>
      <c r="AL23" s="34" t="s">
        <v>42</v>
      </c>
      <c r="AM23" s="34" t="s">
        <v>42</v>
      </c>
      <c r="AN23" s="34" t="s">
        <v>45</v>
      </c>
      <c r="AO23" s="28" t="s">
        <v>42</v>
      </c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Feb</v>
      </c>
      <c r="AV23" s="11">
        <f t="shared" si="8"/>
        <v>22</v>
      </c>
      <c r="AW23" s="11">
        <f t="shared" si="9"/>
        <v>1</v>
      </c>
      <c r="AX23" s="11">
        <f t="shared" si="3"/>
        <v>4</v>
      </c>
      <c r="AY23" s="11">
        <f t="shared" si="4"/>
        <v>4</v>
      </c>
      <c r="AZ23" s="13">
        <f t="shared" si="5"/>
        <v>28</v>
      </c>
      <c r="BA23" s="13">
        <f>(febrepo[[#This Row],[Days]]-febrepo[[#This Row],[Absent]])</f>
        <v>27</v>
      </c>
      <c r="BB23" s="11">
        <f t="shared" ca="1" si="6"/>
        <v>20528</v>
      </c>
      <c r="BC23" s="13">
        <f ca="1">(febrepo[[#This Row],[Salary]]/febrepo[[#This Row],[Paid Days]])</f>
        <v>760.2962962962963</v>
      </c>
      <c r="BD23" s="13">
        <f ca="1">febrepo[[#This Row],[Paid Days Salary]]*febrepo[[#This Row],[Absent]]</f>
        <v>760.2962962962963</v>
      </c>
      <c r="BE23" s="13">
        <f ca="1">febrepo[[#This Row],[Salary]]-febrepo[[#This Row],[Deduction]]</f>
        <v>19767.703703703704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7"/>
        <v>4</v>
      </c>
      <c r="K24" s="34" t="s">
        <v>42</v>
      </c>
      <c r="L24" s="34" t="s">
        <v>42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42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42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42</v>
      </c>
      <c r="AN24" s="34" t="s">
        <v>42</v>
      </c>
      <c r="AO24" s="28" t="s">
        <v>42</v>
      </c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Feb</v>
      </c>
      <c r="AV24" s="11">
        <f t="shared" si="8"/>
        <v>23</v>
      </c>
      <c r="AW24" s="11">
        <f t="shared" si="9"/>
        <v>0</v>
      </c>
      <c r="AX24" s="11">
        <f t="shared" si="3"/>
        <v>4</v>
      </c>
      <c r="AY24" s="11">
        <f t="shared" si="4"/>
        <v>4</v>
      </c>
      <c r="AZ24" s="13">
        <f t="shared" si="5"/>
        <v>28</v>
      </c>
      <c r="BA24" s="13">
        <f>(febrepo[[#This Row],[Days]]-febrepo[[#This Row],[Absent]])</f>
        <v>28</v>
      </c>
      <c r="BB24" s="11">
        <f t="shared" ca="1" si="6"/>
        <v>20628</v>
      </c>
      <c r="BC24" s="13">
        <f ca="1">(febrepo[[#This Row],[Salary]]/febrepo[[#This Row],[Paid Days]])</f>
        <v>736.71428571428567</v>
      </c>
      <c r="BD24" s="13">
        <f ca="1">febrepo[[#This Row],[Paid Days Salary]]*febrepo[[#This Row],[Absent]]</f>
        <v>0</v>
      </c>
      <c r="BE24" s="13">
        <f ca="1">febrepo[[#This Row],[Salary]]-febrepo[[#This Row],[Deduction]]</f>
        <v>20628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7"/>
        <v>4</v>
      </c>
      <c r="K25" s="34" t="s">
        <v>42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45</v>
      </c>
      <c r="Q25" s="34" t="s">
        <v>42</v>
      </c>
      <c r="R25" s="34" t="s">
        <v>42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42</v>
      </c>
      <c r="Z25" s="34" t="s">
        <v>42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42</v>
      </c>
      <c r="AG25" s="34" t="s">
        <v>42</v>
      </c>
      <c r="AH25" s="34" t="s">
        <v>42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42</v>
      </c>
      <c r="AO25" s="28" t="s">
        <v>42</v>
      </c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Feb</v>
      </c>
      <c r="AV25" s="11">
        <f t="shared" si="8"/>
        <v>22</v>
      </c>
      <c r="AW25" s="11">
        <f t="shared" si="9"/>
        <v>1</v>
      </c>
      <c r="AX25" s="11">
        <f t="shared" si="3"/>
        <v>4</v>
      </c>
      <c r="AY25" s="11">
        <f t="shared" si="4"/>
        <v>4</v>
      </c>
      <c r="AZ25" s="13">
        <f t="shared" si="5"/>
        <v>28</v>
      </c>
      <c r="BA25" s="13">
        <f>(febrepo[[#This Row],[Days]]-febrepo[[#This Row],[Absent]])</f>
        <v>27</v>
      </c>
      <c r="BB25" s="11">
        <f t="shared" ca="1" si="6"/>
        <v>24922</v>
      </c>
      <c r="BC25" s="13">
        <f ca="1">(febrepo[[#This Row],[Salary]]/febrepo[[#This Row],[Paid Days]])</f>
        <v>923.03703703703707</v>
      </c>
      <c r="BD25" s="13">
        <f ca="1">febrepo[[#This Row],[Paid Days Salary]]*febrepo[[#This Row],[Absent]]</f>
        <v>923.03703703703707</v>
      </c>
      <c r="BE25" s="13">
        <f ca="1">febrepo[[#This Row],[Salary]]-febrepo[[#This Row],[Deduction]]</f>
        <v>23998.962962962964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7"/>
        <v>4</v>
      </c>
      <c r="K26" s="34" t="s">
        <v>42</v>
      </c>
      <c r="L26" s="34" t="s">
        <v>42</v>
      </c>
      <c r="M26" s="34" t="s">
        <v>42</v>
      </c>
      <c r="N26" s="34" t="s">
        <v>46</v>
      </c>
      <c r="O26" s="34" t="s">
        <v>44</v>
      </c>
      <c r="P26" s="34" t="s">
        <v>42</v>
      </c>
      <c r="Q26" s="34" t="s">
        <v>42</v>
      </c>
      <c r="R26" s="34" t="s">
        <v>42</v>
      </c>
      <c r="S26" s="34" t="s">
        <v>42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42</v>
      </c>
      <c r="Y26" s="34" t="s">
        <v>42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45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42</v>
      </c>
      <c r="AM26" s="34" t="s">
        <v>42</v>
      </c>
      <c r="AN26" s="34" t="s">
        <v>42</v>
      </c>
      <c r="AO26" s="28" t="s">
        <v>42</v>
      </c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Feb</v>
      </c>
      <c r="AV26" s="11">
        <f t="shared" si="8"/>
        <v>22</v>
      </c>
      <c r="AW26" s="11">
        <f t="shared" si="9"/>
        <v>1</v>
      </c>
      <c r="AX26" s="11">
        <f t="shared" si="3"/>
        <v>4</v>
      </c>
      <c r="AY26" s="11">
        <f t="shared" si="4"/>
        <v>4</v>
      </c>
      <c r="AZ26" s="13">
        <f t="shared" si="5"/>
        <v>28</v>
      </c>
      <c r="BA26" s="13">
        <f>(febrepo[[#This Row],[Days]]-febrepo[[#This Row],[Absent]])</f>
        <v>27</v>
      </c>
      <c r="BB26" s="11">
        <f t="shared" ca="1" si="6"/>
        <v>24603</v>
      </c>
      <c r="BC26" s="13">
        <f ca="1">(febrepo[[#This Row],[Salary]]/febrepo[[#This Row],[Paid Days]])</f>
        <v>911.22222222222217</v>
      </c>
      <c r="BD26" s="13">
        <f ca="1">febrepo[[#This Row],[Paid Days Salary]]*febrepo[[#This Row],[Absent]]</f>
        <v>911.22222222222217</v>
      </c>
      <c r="BE26" s="13">
        <f ca="1">febrepo[[#This Row],[Salary]]-febrepo[[#This Row],[Deduction]]</f>
        <v>23691.777777777777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7"/>
        <v>4</v>
      </c>
      <c r="K27" s="34" t="s">
        <v>42</v>
      </c>
      <c r="L27" s="34" t="s">
        <v>42</v>
      </c>
      <c r="M27" s="34" t="s">
        <v>42</v>
      </c>
      <c r="N27" s="34" t="s">
        <v>46</v>
      </c>
      <c r="O27" s="34" t="s">
        <v>44</v>
      </c>
      <c r="P27" s="34" t="s">
        <v>42</v>
      </c>
      <c r="Q27" s="34" t="s">
        <v>42</v>
      </c>
      <c r="R27" s="34" t="s">
        <v>45</v>
      </c>
      <c r="S27" s="34" t="s">
        <v>42</v>
      </c>
      <c r="T27" s="34" t="s">
        <v>42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42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42</v>
      </c>
      <c r="AN27" s="34" t="s">
        <v>42</v>
      </c>
      <c r="AO27" s="28" t="s">
        <v>42</v>
      </c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Feb</v>
      </c>
      <c r="AV27" s="11">
        <f t="shared" si="8"/>
        <v>22</v>
      </c>
      <c r="AW27" s="11">
        <f t="shared" si="9"/>
        <v>1</v>
      </c>
      <c r="AX27" s="11">
        <f t="shared" si="3"/>
        <v>4</v>
      </c>
      <c r="AY27" s="11">
        <f t="shared" si="4"/>
        <v>4</v>
      </c>
      <c r="AZ27" s="13">
        <f t="shared" si="5"/>
        <v>28</v>
      </c>
      <c r="BA27" s="13">
        <f>(febrepo[[#This Row],[Days]]-febrepo[[#This Row],[Absent]])</f>
        <v>27</v>
      </c>
      <c r="BB27" s="11">
        <f t="shared" ca="1" si="6"/>
        <v>22769</v>
      </c>
      <c r="BC27" s="13">
        <f ca="1">(febrepo[[#This Row],[Salary]]/febrepo[[#This Row],[Paid Days]])</f>
        <v>843.2962962962963</v>
      </c>
      <c r="BD27" s="13">
        <f ca="1">febrepo[[#This Row],[Paid Days Salary]]*febrepo[[#This Row],[Absent]]</f>
        <v>843.2962962962963</v>
      </c>
      <c r="BE27" s="13">
        <f ca="1">febrepo[[#This Row],[Salary]]-febrepo[[#This Row],[Deduction]]</f>
        <v>21925.703703703704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7"/>
        <v>4</v>
      </c>
      <c r="K28" s="31" t="s">
        <v>42</v>
      </c>
      <c r="L28" s="31" t="s">
        <v>42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1" t="s">
        <v>42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1" t="s">
        <v>42</v>
      </c>
      <c r="AO28" s="32" t="s">
        <v>42</v>
      </c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Feb</v>
      </c>
      <c r="AV28" s="11">
        <f t="shared" si="8"/>
        <v>23</v>
      </c>
      <c r="AW28" s="11">
        <f t="shared" si="9"/>
        <v>0</v>
      </c>
      <c r="AX28" s="11">
        <f t="shared" si="3"/>
        <v>4</v>
      </c>
      <c r="AY28" s="11">
        <f t="shared" si="4"/>
        <v>4</v>
      </c>
      <c r="AZ28" s="13">
        <f t="shared" si="5"/>
        <v>28</v>
      </c>
      <c r="BA28" s="13">
        <f>(febrepo[[#This Row],[Days]]-febrepo[[#This Row],[Absent]])</f>
        <v>28</v>
      </c>
      <c r="BB28" s="11">
        <f t="shared" ca="1" si="6"/>
        <v>23259</v>
      </c>
      <c r="BC28" s="13">
        <f ca="1">(febrepo[[#This Row],[Salary]]/febrepo[[#This Row],[Paid Days]])</f>
        <v>830.67857142857144</v>
      </c>
      <c r="BD28" s="13">
        <f ca="1">febrepo[[#This Row],[Paid Days Salary]]*febrepo[[#This Row],[Absent]]</f>
        <v>0</v>
      </c>
      <c r="BE28" s="13">
        <f ca="1">febrepo[[#This Row],[Salary]]-febrepo[[#This Row],[Deduction]]</f>
        <v>23259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s="15" customFormat="1" ht="15" customHeight="1" x14ac:dyDescent="0.25"/>
    <row r="34" s="15" customFormat="1" ht="15" customHeight="1" x14ac:dyDescent="0.25"/>
    <row r="35" s="15" customFormat="1" ht="15" customHeight="1" x14ac:dyDescent="0.25"/>
    <row r="36" s="15" customFormat="1" ht="15" customHeight="1" x14ac:dyDescent="0.25"/>
    <row r="37" s="15" customFormat="1" ht="15" customHeight="1" x14ac:dyDescent="0.25"/>
    <row r="38" s="15" customFormat="1" ht="15" customHeight="1" x14ac:dyDescent="0.25"/>
    <row r="39" s="15" customFormat="1" ht="15" customHeight="1" x14ac:dyDescent="0.25"/>
    <row r="40" s="15" customFormat="1" ht="15" customHeight="1" x14ac:dyDescent="0.25"/>
    <row r="41" s="15" customFormat="1" ht="15" customHeight="1" x14ac:dyDescent="0.25"/>
    <row r="42" s="15" customFormat="1" ht="15" customHeight="1" x14ac:dyDescent="0.25"/>
    <row r="43" s="15" customFormat="1" ht="15" customHeight="1" x14ac:dyDescent="0.25"/>
    <row r="44" s="15" customFormat="1" ht="15" customHeight="1" x14ac:dyDescent="0.25"/>
  </sheetData>
  <mergeCells count="1">
    <mergeCell ref="G7:I7"/>
  </mergeCells>
  <conditionalFormatting sqref="K7:AO8 O10:O28 V10:V28 AC10:AC28 AJ10:AJ28">
    <cfRule type="containsText" dxfId="87" priority="7" operator="containsText" text="WO">
      <formula>NOT(ISERROR(SEARCH("WO",K7)))</formula>
    </cfRule>
  </conditionalFormatting>
  <conditionalFormatting sqref="K8:AO8 O10:O28 V10:V28 AC10:AC28 AJ10:AJ28">
    <cfRule type="containsText" dxfId="86" priority="5" operator="containsText" text="A">
      <formula>NOT(ISERROR(SEARCH("A",K8)))</formula>
    </cfRule>
    <cfRule type="containsText" dxfId="85" priority="6" operator="containsText" text="P">
      <formula>NOT(ISERROR(SEARCH("P",K8)))</formula>
    </cfRule>
  </conditionalFormatting>
  <conditionalFormatting sqref="K9:AO28">
    <cfRule type="containsText" dxfId="84" priority="1" operator="containsText" text="A">
      <formula>NOT(ISERROR(SEARCH("A",K9)))</formula>
    </cfRule>
    <cfRule type="containsText" dxfId="83" priority="2" operator="containsText" text="P">
      <formula>NOT(ISERROR(SEARCH("P",K9)))</formula>
    </cfRule>
  </conditionalFormatting>
  <conditionalFormatting sqref="O10:O28 V10:V28 AC10:AC28 AJ10:AJ28 K8:AO8">
    <cfRule type="containsText" dxfId="82" priority="4" operator="containsText" text="L">
      <formula>NOT(ISERROR(SEARCH("L",K8)))</formula>
    </cfRule>
  </conditionalFormatting>
  <conditionalFormatting sqref="T9:AP9 K9:S28 U9:U28 AB9:AB28 AI9:AI28 T10:AO28">
    <cfRule type="containsText" dxfId="81" priority="3" operator="containsText" text="WO">
      <formula>NOT(ISERROR(SEARCH("WO",K9)))</formula>
    </cfRule>
  </conditionalFormatting>
  <dataValidations count="1">
    <dataValidation type="list" allowBlank="1" showInputMessage="1" showErrorMessage="1" sqref="K9:AO28" xr:uid="{52FAB3C9-623D-4336-8C7E-E464BD80360F}">
      <formula1>"P,A,L,WO"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73E9B0-8EA2-4DE6-B1CA-401C17F6E669}">
          <x14:formula1>
            <xm:f>Sheet3!$A$1:$A$12</xm:f>
          </x14:formula1>
          <xm:sqref>H4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E3E8-B3B3-4B9C-A17A-8EC153AD9794}">
  <dimension ref="D1:BG44"/>
  <sheetViews>
    <sheetView topLeftCell="AB4" zoomScale="98" zoomScaleNormal="98" workbookViewId="0">
      <selection activeCell="AT14" sqref="AT14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45717</v>
      </c>
      <c r="I4" s="19">
        <f>(DATEDIF($H$4,$L$4,"D")+1)</f>
        <v>31</v>
      </c>
      <c r="J4" s="17" t="str">
        <f>TEXT(H4,"mmm")</f>
        <v>Mar</v>
      </c>
      <c r="K4" s="17" t="s">
        <v>27</v>
      </c>
      <c r="L4" s="18">
        <f>EOMONTH(H4,0)</f>
        <v>45747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Sat</v>
      </c>
      <c r="L7" s="5" t="str">
        <f t="shared" ref="L7:AO7" si="0">TEXT(L8,"ddd")</f>
        <v>Sun</v>
      </c>
      <c r="M7" s="5" t="str">
        <f t="shared" si="0"/>
        <v>Mon</v>
      </c>
      <c r="N7" s="5" t="str">
        <f t="shared" si="0"/>
        <v>Tue</v>
      </c>
      <c r="O7" s="5" t="str">
        <f t="shared" si="0"/>
        <v>Wed</v>
      </c>
      <c r="P7" s="5" t="str">
        <f t="shared" si="0"/>
        <v>Thu</v>
      </c>
      <c r="Q7" s="5" t="str">
        <f t="shared" si="0"/>
        <v>Fri</v>
      </c>
      <c r="R7" s="5" t="str">
        <f t="shared" si="0"/>
        <v>Sat</v>
      </c>
      <c r="S7" s="5" t="str">
        <f t="shared" si="0"/>
        <v>Sun</v>
      </c>
      <c r="T7" s="5" t="str">
        <f t="shared" si="0"/>
        <v>Mon</v>
      </c>
      <c r="U7" s="5" t="str">
        <f t="shared" si="0"/>
        <v>Tue</v>
      </c>
      <c r="V7" s="5" t="str">
        <f t="shared" si="0"/>
        <v>Wed</v>
      </c>
      <c r="W7" s="5" t="str">
        <f t="shared" si="0"/>
        <v>Thu</v>
      </c>
      <c r="X7" s="5" t="str">
        <f t="shared" si="0"/>
        <v>Fri</v>
      </c>
      <c r="Y7" s="5" t="str">
        <f t="shared" si="0"/>
        <v>Sat</v>
      </c>
      <c r="Z7" s="5" t="str">
        <f t="shared" si="0"/>
        <v>Sun</v>
      </c>
      <c r="AA7" s="5" t="str">
        <f t="shared" si="0"/>
        <v>Mon</v>
      </c>
      <c r="AB7" s="5" t="str">
        <f t="shared" si="0"/>
        <v>Tue</v>
      </c>
      <c r="AC7" s="5" t="str">
        <f t="shared" si="0"/>
        <v>Wed</v>
      </c>
      <c r="AD7" s="5" t="str">
        <f t="shared" si="0"/>
        <v>Thu</v>
      </c>
      <c r="AE7" s="5" t="str">
        <f t="shared" si="0"/>
        <v>Fri</v>
      </c>
      <c r="AF7" s="5" t="str">
        <f t="shared" si="0"/>
        <v>Sat</v>
      </c>
      <c r="AG7" s="5" t="str">
        <f t="shared" si="0"/>
        <v>Sun</v>
      </c>
      <c r="AH7" s="5" t="str">
        <f t="shared" si="0"/>
        <v>Mon</v>
      </c>
      <c r="AI7" s="5" t="str">
        <f t="shared" si="0"/>
        <v>Tue</v>
      </c>
      <c r="AJ7" s="5" t="str">
        <f t="shared" si="0"/>
        <v>Wed</v>
      </c>
      <c r="AK7" s="5" t="str">
        <f t="shared" si="0"/>
        <v>Thu</v>
      </c>
      <c r="AL7" s="5" t="str">
        <f t="shared" si="0"/>
        <v>Fri</v>
      </c>
      <c r="AM7" s="5" t="str">
        <f t="shared" si="0"/>
        <v>Sat</v>
      </c>
      <c r="AN7" s="5" t="str">
        <f t="shared" si="0"/>
        <v>Sun</v>
      </c>
      <c r="AO7" s="6" t="str">
        <f t="shared" si="0"/>
        <v>Mon</v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45717</v>
      </c>
      <c r="L8" s="23">
        <f t="shared" ref="L8:AO8" si="1">IF(K8&lt;$L$4,K8+1,"")</f>
        <v>45718</v>
      </c>
      <c r="M8" s="23">
        <f t="shared" si="1"/>
        <v>45719</v>
      </c>
      <c r="N8" s="23">
        <f t="shared" si="1"/>
        <v>45720</v>
      </c>
      <c r="O8" s="23">
        <f t="shared" si="1"/>
        <v>45721</v>
      </c>
      <c r="P8" s="23">
        <f t="shared" si="1"/>
        <v>45722</v>
      </c>
      <c r="Q8" s="23">
        <f t="shared" si="1"/>
        <v>45723</v>
      </c>
      <c r="R8" s="23">
        <f t="shared" si="1"/>
        <v>45724</v>
      </c>
      <c r="S8" s="23">
        <f t="shared" si="1"/>
        <v>45725</v>
      </c>
      <c r="T8" s="23">
        <f t="shared" si="1"/>
        <v>45726</v>
      </c>
      <c r="U8" s="23">
        <f t="shared" si="1"/>
        <v>45727</v>
      </c>
      <c r="V8" s="23">
        <f t="shared" si="1"/>
        <v>45728</v>
      </c>
      <c r="W8" s="23">
        <f t="shared" si="1"/>
        <v>45729</v>
      </c>
      <c r="X8" s="23">
        <f t="shared" si="1"/>
        <v>45730</v>
      </c>
      <c r="Y8" s="23">
        <f t="shared" si="1"/>
        <v>45731</v>
      </c>
      <c r="Z8" s="23">
        <f t="shared" si="1"/>
        <v>45732</v>
      </c>
      <c r="AA8" s="23">
        <f t="shared" si="1"/>
        <v>45733</v>
      </c>
      <c r="AB8" s="23">
        <f t="shared" si="1"/>
        <v>45734</v>
      </c>
      <c r="AC8" s="23">
        <f t="shared" si="1"/>
        <v>45735</v>
      </c>
      <c r="AD8" s="23">
        <f t="shared" si="1"/>
        <v>45736</v>
      </c>
      <c r="AE8" s="23">
        <f t="shared" si="1"/>
        <v>45737</v>
      </c>
      <c r="AF8" s="23">
        <f t="shared" si="1"/>
        <v>45738</v>
      </c>
      <c r="AG8" s="23">
        <f t="shared" si="1"/>
        <v>45739</v>
      </c>
      <c r="AH8" s="23">
        <f t="shared" si="1"/>
        <v>45740</v>
      </c>
      <c r="AI8" s="23">
        <f t="shared" si="1"/>
        <v>45741</v>
      </c>
      <c r="AJ8" s="23">
        <f t="shared" si="1"/>
        <v>45742</v>
      </c>
      <c r="AK8" s="23">
        <f t="shared" si="1"/>
        <v>45743</v>
      </c>
      <c r="AL8" s="23">
        <f t="shared" si="1"/>
        <v>45744</v>
      </c>
      <c r="AM8" s="23">
        <f t="shared" si="1"/>
        <v>45745</v>
      </c>
      <c r="AN8" s="23">
        <f t="shared" si="1"/>
        <v>45746</v>
      </c>
      <c r="AO8" s="24">
        <f t="shared" si="1"/>
        <v>45747</v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5</v>
      </c>
      <c r="K9" s="34" t="s">
        <v>45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42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42</v>
      </c>
      <c r="AO9" s="28" t="s">
        <v>46</v>
      </c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Mar</v>
      </c>
      <c r="AV9" s="11">
        <f t="shared" ref="AV9:AV28" si="3">COUNTIF($K9:$AO9,"P")</f>
        <v>21</v>
      </c>
      <c r="AW9" s="11">
        <f t="shared" ref="AW9:AW28" si="4">COUNTIF($K9:$AO9,"A")</f>
        <v>1</v>
      </c>
      <c r="AX9" s="11">
        <f t="shared" ref="AX9:AX28" si="5">COUNTIF($K9:$AO9,"L")</f>
        <v>5</v>
      </c>
      <c r="AY9" s="11">
        <f t="shared" ref="AY9:AY28" si="6">$J$9</f>
        <v>5</v>
      </c>
      <c r="AZ9" s="13">
        <f t="shared" ref="AZ9:AZ28" si="7">$I$4</f>
        <v>31</v>
      </c>
      <c r="BA9" s="13">
        <f>(marrepo[[#This Row],[Days]]-marrepo[[#This Row],[Absent]])</f>
        <v>30</v>
      </c>
      <c r="BB9" s="11">
        <f t="shared" ref="BB9:BB28" ca="1" si="8">RANDBETWEEN(10000,25000)</f>
        <v>24130</v>
      </c>
      <c r="BC9" s="13">
        <f ca="1">(marrepo[[#This Row],[Salary]]/marrepo[[#This Row],[Paid Days]])</f>
        <v>804.33333333333337</v>
      </c>
      <c r="BD9" s="13">
        <f ca="1">marrepo[[#This Row],[Salary]]*marrepo[[#This Row],[Absent]]</f>
        <v>24130</v>
      </c>
      <c r="BE9" s="13">
        <f ca="1">marrepo[[#This Row],[Salary]]-marrepo[[#This Row],[Deduction]]</f>
        <v>0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9">COUNTIF($K$7:$AO$7,"Sun")</f>
        <v>5</v>
      </c>
      <c r="K10" s="34" t="s">
        <v>42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42</v>
      </c>
      <c r="Q10" s="34" t="s">
        <v>42</v>
      </c>
      <c r="R10" s="34" t="s">
        <v>42</v>
      </c>
      <c r="S10" s="34" t="s">
        <v>42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42</v>
      </c>
      <c r="AN10" s="34" t="s">
        <v>42</v>
      </c>
      <c r="AO10" s="28" t="s">
        <v>46</v>
      </c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Mar</v>
      </c>
      <c r="AV10" s="11">
        <f t="shared" si="3"/>
        <v>22</v>
      </c>
      <c r="AW10" s="11">
        <f t="shared" si="4"/>
        <v>0</v>
      </c>
      <c r="AX10" s="11">
        <f t="shared" si="5"/>
        <v>5</v>
      </c>
      <c r="AY10" s="11">
        <f t="shared" si="6"/>
        <v>5</v>
      </c>
      <c r="AZ10" s="13">
        <f t="shared" si="7"/>
        <v>31</v>
      </c>
      <c r="BA10" s="13">
        <f>(marrepo[[#This Row],[Days]]-marrepo[[#This Row],[Absent]])</f>
        <v>31</v>
      </c>
      <c r="BB10" s="11">
        <f t="shared" ca="1" si="8"/>
        <v>19711</v>
      </c>
      <c r="BC10" s="13">
        <f ca="1">(marrepo[[#This Row],[Salary]]/marrepo[[#This Row],[Paid Days]])</f>
        <v>635.83870967741939</v>
      </c>
      <c r="BD10" s="13">
        <f ca="1">marrepo[[#This Row],[Salary]]*marrepo[[#This Row],[Absent]]</f>
        <v>0</v>
      </c>
      <c r="BE10" s="13">
        <f ca="1">marrepo[[#This Row],[Salary]]-marrepo[[#This Row],[Deduction]]</f>
        <v>19711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9"/>
        <v>5</v>
      </c>
      <c r="K11" s="34" t="s">
        <v>42</v>
      </c>
      <c r="L11" s="34" t="s">
        <v>42</v>
      </c>
      <c r="M11" s="34" t="s">
        <v>42</v>
      </c>
      <c r="N11" s="34" t="s">
        <v>46</v>
      </c>
      <c r="O11" s="34" t="s">
        <v>44</v>
      </c>
      <c r="P11" s="34" t="s">
        <v>42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42</v>
      </c>
      <c r="X11" s="34" t="s">
        <v>42</v>
      </c>
      <c r="Y11" s="34" t="s">
        <v>42</v>
      </c>
      <c r="Z11" s="34" t="s">
        <v>42</v>
      </c>
      <c r="AA11" s="34" t="s">
        <v>42</v>
      </c>
      <c r="AB11" s="34" t="s">
        <v>46</v>
      </c>
      <c r="AC11" s="34" t="s">
        <v>44</v>
      </c>
      <c r="AD11" s="34" t="s">
        <v>42</v>
      </c>
      <c r="AE11" s="34" t="s">
        <v>42</v>
      </c>
      <c r="AF11" s="34" t="s">
        <v>42</v>
      </c>
      <c r="AG11" s="34" t="s">
        <v>42</v>
      </c>
      <c r="AH11" s="34" t="s">
        <v>42</v>
      </c>
      <c r="AI11" s="34" t="s">
        <v>46</v>
      </c>
      <c r="AJ11" s="34" t="s">
        <v>44</v>
      </c>
      <c r="AK11" s="34" t="s">
        <v>42</v>
      </c>
      <c r="AL11" s="34" t="s">
        <v>42</v>
      </c>
      <c r="AM11" s="34" t="s">
        <v>42</v>
      </c>
      <c r="AN11" s="34" t="s">
        <v>42</v>
      </c>
      <c r="AO11" s="28" t="s">
        <v>46</v>
      </c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Mar</v>
      </c>
      <c r="AV11" s="11">
        <f t="shared" si="3"/>
        <v>22</v>
      </c>
      <c r="AW11" s="11">
        <f t="shared" si="4"/>
        <v>0</v>
      </c>
      <c r="AX11" s="11">
        <f t="shared" si="5"/>
        <v>5</v>
      </c>
      <c r="AY11" s="11">
        <f t="shared" si="6"/>
        <v>5</v>
      </c>
      <c r="AZ11" s="13">
        <f t="shared" si="7"/>
        <v>31</v>
      </c>
      <c r="BA11" s="13">
        <f>(marrepo[[#This Row],[Days]]-marrepo[[#This Row],[Absent]])</f>
        <v>31</v>
      </c>
      <c r="BB11" s="11">
        <f t="shared" ca="1" si="8"/>
        <v>13074</v>
      </c>
      <c r="BC11" s="13">
        <f ca="1">(marrepo[[#This Row],[Salary]]/marrepo[[#This Row],[Paid Days]])</f>
        <v>421.74193548387098</v>
      </c>
      <c r="BD11" s="13">
        <f ca="1">marrepo[[#This Row],[Salary]]*marrepo[[#This Row],[Absent]]</f>
        <v>0</v>
      </c>
      <c r="BE11" s="13">
        <f ca="1">marrepo[[#This Row],[Salary]]-marrepo[[#This Row],[Deduction]]</f>
        <v>13074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9"/>
        <v>5</v>
      </c>
      <c r="K12" s="34" t="s">
        <v>42</v>
      </c>
      <c r="L12" s="34" t="s">
        <v>42</v>
      </c>
      <c r="M12" s="34" t="s">
        <v>42</v>
      </c>
      <c r="N12" s="34" t="s">
        <v>46</v>
      </c>
      <c r="O12" s="34" t="s">
        <v>44</v>
      </c>
      <c r="P12" s="34" t="s">
        <v>42</v>
      </c>
      <c r="Q12" s="34" t="s">
        <v>45</v>
      </c>
      <c r="R12" s="34" t="s">
        <v>42</v>
      </c>
      <c r="S12" s="34" t="s">
        <v>42</v>
      </c>
      <c r="T12" s="34" t="s">
        <v>42</v>
      </c>
      <c r="U12" s="34" t="s">
        <v>46</v>
      </c>
      <c r="V12" s="34" t="s">
        <v>44</v>
      </c>
      <c r="W12" s="34" t="s">
        <v>42</v>
      </c>
      <c r="X12" s="34" t="s">
        <v>42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45</v>
      </c>
      <c r="AE12" s="34" t="s">
        <v>42</v>
      </c>
      <c r="AF12" s="34" t="s">
        <v>42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42</v>
      </c>
      <c r="AL12" s="34" t="s">
        <v>42</v>
      </c>
      <c r="AM12" s="34" t="s">
        <v>42</v>
      </c>
      <c r="AN12" s="34" t="s">
        <v>45</v>
      </c>
      <c r="AO12" s="28" t="s">
        <v>46</v>
      </c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Mar</v>
      </c>
      <c r="AV12" s="11">
        <f t="shared" si="3"/>
        <v>19</v>
      </c>
      <c r="AW12" s="11">
        <f t="shared" si="4"/>
        <v>3</v>
      </c>
      <c r="AX12" s="11">
        <f t="shared" si="5"/>
        <v>5</v>
      </c>
      <c r="AY12" s="11">
        <f t="shared" si="6"/>
        <v>5</v>
      </c>
      <c r="AZ12" s="13">
        <f t="shared" si="7"/>
        <v>31</v>
      </c>
      <c r="BA12" s="13">
        <f>(marrepo[[#This Row],[Days]]-marrepo[[#This Row],[Absent]])</f>
        <v>28</v>
      </c>
      <c r="BB12" s="11">
        <f t="shared" ca="1" si="8"/>
        <v>19690</v>
      </c>
      <c r="BC12" s="13">
        <f ca="1">(marrepo[[#This Row],[Salary]]/marrepo[[#This Row],[Paid Days]])</f>
        <v>703.21428571428567</v>
      </c>
      <c r="BD12" s="13">
        <f ca="1">marrepo[[#This Row],[Salary]]*marrepo[[#This Row],[Absent]]</f>
        <v>59070</v>
      </c>
      <c r="BE12" s="13">
        <f ca="1">marrepo[[#This Row],[Salary]]-marrepo[[#This Row],[Deduction]]</f>
        <v>-39380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9"/>
        <v>5</v>
      </c>
      <c r="K13" s="34" t="s">
        <v>42</v>
      </c>
      <c r="L13" s="34" t="s">
        <v>42</v>
      </c>
      <c r="M13" s="34" t="s">
        <v>42</v>
      </c>
      <c r="N13" s="34" t="s">
        <v>46</v>
      </c>
      <c r="O13" s="34" t="s">
        <v>44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45</v>
      </c>
      <c r="AB13" s="34" t="s">
        <v>46</v>
      </c>
      <c r="AC13" s="34" t="s">
        <v>44</v>
      </c>
      <c r="AD13" s="34" t="s">
        <v>42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45</v>
      </c>
      <c r="AN13" s="34" t="s">
        <v>42</v>
      </c>
      <c r="AO13" s="28" t="s">
        <v>46</v>
      </c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Mar</v>
      </c>
      <c r="AV13" s="11">
        <f t="shared" si="3"/>
        <v>20</v>
      </c>
      <c r="AW13" s="11">
        <f t="shared" si="4"/>
        <v>2</v>
      </c>
      <c r="AX13" s="11">
        <f t="shared" si="5"/>
        <v>5</v>
      </c>
      <c r="AY13" s="11">
        <f t="shared" si="6"/>
        <v>5</v>
      </c>
      <c r="AZ13" s="13">
        <f t="shared" si="7"/>
        <v>31</v>
      </c>
      <c r="BA13" s="13">
        <f>(marrepo[[#This Row],[Days]]-marrepo[[#This Row],[Absent]])</f>
        <v>29</v>
      </c>
      <c r="BB13" s="11">
        <f t="shared" ca="1" si="8"/>
        <v>24423</v>
      </c>
      <c r="BC13" s="13">
        <f ca="1">(marrepo[[#This Row],[Salary]]/marrepo[[#This Row],[Paid Days]])</f>
        <v>842.17241379310349</v>
      </c>
      <c r="BD13" s="13">
        <f ca="1">marrepo[[#This Row],[Salary]]*marrepo[[#This Row],[Absent]]</f>
        <v>48846</v>
      </c>
      <c r="BE13" s="13">
        <f ca="1">marrepo[[#This Row],[Salary]]-marrepo[[#This Row],[Deduction]]</f>
        <v>-24423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9"/>
        <v>5</v>
      </c>
      <c r="K14" s="34" t="s">
        <v>42</v>
      </c>
      <c r="L14" s="34" t="s">
        <v>45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42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45</v>
      </c>
      <c r="AL14" s="34" t="s">
        <v>42</v>
      </c>
      <c r="AM14" s="34" t="s">
        <v>42</v>
      </c>
      <c r="AN14" s="34" t="s">
        <v>42</v>
      </c>
      <c r="AO14" s="28" t="s">
        <v>46</v>
      </c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Mar</v>
      </c>
      <c r="AV14" s="11">
        <f t="shared" si="3"/>
        <v>20</v>
      </c>
      <c r="AW14" s="11">
        <f t="shared" si="4"/>
        <v>2</v>
      </c>
      <c r="AX14" s="11">
        <f t="shared" si="5"/>
        <v>5</v>
      </c>
      <c r="AY14" s="11">
        <f t="shared" si="6"/>
        <v>5</v>
      </c>
      <c r="AZ14" s="13">
        <f t="shared" si="7"/>
        <v>31</v>
      </c>
      <c r="BA14" s="13">
        <f>(marrepo[[#This Row],[Days]]-marrepo[[#This Row],[Absent]])</f>
        <v>29</v>
      </c>
      <c r="BB14" s="11">
        <f t="shared" ca="1" si="8"/>
        <v>11261</v>
      </c>
      <c r="BC14" s="13">
        <f ca="1">(marrepo[[#This Row],[Salary]]/marrepo[[#This Row],[Paid Days]])</f>
        <v>388.31034482758622</v>
      </c>
      <c r="BD14" s="13">
        <f ca="1">marrepo[[#This Row],[Salary]]*marrepo[[#This Row],[Absent]]</f>
        <v>22522</v>
      </c>
      <c r="BE14" s="13">
        <f ca="1">marrepo[[#This Row],[Salary]]-marrepo[[#This Row],[Deduction]]</f>
        <v>-11261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9"/>
        <v>5</v>
      </c>
      <c r="K15" s="34" t="s">
        <v>42</v>
      </c>
      <c r="L15" s="34" t="s">
        <v>42</v>
      </c>
      <c r="M15" s="34" t="s">
        <v>42</v>
      </c>
      <c r="N15" s="34" t="s">
        <v>46</v>
      </c>
      <c r="O15" s="34" t="s">
        <v>44</v>
      </c>
      <c r="P15" s="34" t="s">
        <v>42</v>
      </c>
      <c r="Q15" s="34" t="s">
        <v>42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42</v>
      </c>
      <c r="Y15" s="34" t="s">
        <v>42</v>
      </c>
      <c r="Z15" s="34" t="s">
        <v>42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45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42</v>
      </c>
      <c r="AL15" s="34" t="s">
        <v>42</v>
      </c>
      <c r="AM15" s="34" t="s">
        <v>42</v>
      </c>
      <c r="AN15" s="34" t="s">
        <v>42</v>
      </c>
      <c r="AO15" s="28" t="s">
        <v>46</v>
      </c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Mar</v>
      </c>
      <c r="AV15" s="11">
        <f t="shared" si="3"/>
        <v>21</v>
      </c>
      <c r="AW15" s="11">
        <f t="shared" si="4"/>
        <v>1</v>
      </c>
      <c r="AX15" s="11">
        <f t="shared" si="5"/>
        <v>5</v>
      </c>
      <c r="AY15" s="11">
        <f t="shared" si="6"/>
        <v>5</v>
      </c>
      <c r="AZ15" s="13">
        <f t="shared" si="7"/>
        <v>31</v>
      </c>
      <c r="BA15" s="13">
        <f>(marrepo[[#This Row],[Days]]-marrepo[[#This Row],[Absent]])</f>
        <v>30</v>
      </c>
      <c r="BB15" s="11">
        <f t="shared" ca="1" si="8"/>
        <v>22339</v>
      </c>
      <c r="BC15" s="13">
        <f ca="1">(marrepo[[#This Row],[Salary]]/marrepo[[#This Row],[Paid Days]])</f>
        <v>744.63333333333333</v>
      </c>
      <c r="BD15" s="13">
        <f ca="1">marrepo[[#This Row],[Salary]]*marrepo[[#This Row],[Absent]]</f>
        <v>22339</v>
      </c>
      <c r="BE15" s="13">
        <f ca="1">marrepo[[#This Row],[Salary]]-marrepo[[#This Row],[Deduction]]</f>
        <v>0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9"/>
        <v>5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42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42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42</v>
      </c>
      <c r="AO16" s="28" t="s">
        <v>46</v>
      </c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Mar</v>
      </c>
      <c r="AV16" s="11">
        <f t="shared" si="3"/>
        <v>22</v>
      </c>
      <c r="AW16" s="11">
        <f t="shared" si="4"/>
        <v>0</v>
      </c>
      <c r="AX16" s="11">
        <f t="shared" si="5"/>
        <v>5</v>
      </c>
      <c r="AY16" s="11">
        <f t="shared" si="6"/>
        <v>5</v>
      </c>
      <c r="AZ16" s="13">
        <f t="shared" si="7"/>
        <v>31</v>
      </c>
      <c r="BA16" s="13">
        <f>(marrepo[[#This Row],[Days]]-marrepo[[#This Row],[Absent]])</f>
        <v>31</v>
      </c>
      <c r="BB16" s="11">
        <f t="shared" ca="1" si="8"/>
        <v>20985</v>
      </c>
      <c r="BC16" s="13">
        <f ca="1">(marrepo[[#This Row],[Salary]]/marrepo[[#This Row],[Paid Days]])</f>
        <v>676.93548387096769</v>
      </c>
      <c r="BD16" s="13">
        <f ca="1">marrepo[[#This Row],[Salary]]*marrepo[[#This Row],[Absent]]</f>
        <v>0</v>
      </c>
      <c r="BE16" s="13">
        <f ca="1">marrepo[[#This Row],[Salary]]-marrepo[[#This Row],[Deduction]]</f>
        <v>20985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9"/>
        <v>5</v>
      </c>
      <c r="K17" s="34" t="s">
        <v>42</v>
      </c>
      <c r="L17" s="34" t="s">
        <v>42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42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45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42</v>
      </c>
      <c r="AH17" s="34" t="s">
        <v>45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42</v>
      </c>
      <c r="AO17" s="28" t="s">
        <v>46</v>
      </c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Mar</v>
      </c>
      <c r="AV17" s="11">
        <f t="shared" si="3"/>
        <v>20</v>
      </c>
      <c r="AW17" s="11">
        <f t="shared" si="4"/>
        <v>2</v>
      </c>
      <c r="AX17" s="11">
        <f t="shared" si="5"/>
        <v>5</v>
      </c>
      <c r="AY17" s="11">
        <f t="shared" si="6"/>
        <v>5</v>
      </c>
      <c r="AZ17" s="13">
        <f t="shared" si="7"/>
        <v>31</v>
      </c>
      <c r="BA17" s="13">
        <f>(marrepo[[#This Row],[Days]]-marrepo[[#This Row],[Absent]])</f>
        <v>29</v>
      </c>
      <c r="BB17" s="11">
        <f t="shared" ca="1" si="8"/>
        <v>20790</v>
      </c>
      <c r="BC17" s="13">
        <f ca="1">(marrepo[[#This Row],[Salary]]/marrepo[[#This Row],[Paid Days]])</f>
        <v>716.89655172413791</v>
      </c>
      <c r="BD17" s="13">
        <f ca="1">marrepo[[#This Row],[Salary]]*marrepo[[#This Row],[Absent]]</f>
        <v>41580</v>
      </c>
      <c r="BE17" s="13">
        <f ca="1">marrepo[[#This Row],[Salary]]-marrepo[[#This Row],[Deduction]]</f>
        <v>-20790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9"/>
        <v>5</v>
      </c>
      <c r="K18" s="34" t="s">
        <v>45</v>
      </c>
      <c r="L18" s="34" t="s">
        <v>42</v>
      </c>
      <c r="M18" s="34" t="s">
        <v>42</v>
      </c>
      <c r="N18" s="34" t="s">
        <v>46</v>
      </c>
      <c r="O18" s="34" t="s">
        <v>44</v>
      </c>
      <c r="P18" s="34" t="s">
        <v>42</v>
      </c>
      <c r="Q18" s="34" t="s">
        <v>45</v>
      </c>
      <c r="R18" s="34" t="s">
        <v>42</v>
      </c>
      <c r="S18" s="34" t="s">
        <v>42</v>
      </c>
      <c r="T18" s="34" t="s">
        <v>42</v>
      </c>
      <c r="U18" s="34" t="s">
        <v>46</v>
      </c>
      <c r="V18" s="34" t="s">
        <v>44</v>
      </c>
      <c r="W18" s="34" t="s">
        <v>42</v>
      </c>
      <c r="X18" s="34" t="s">
        <v>42</v>
      </c>
      <c r="Y18" s="34" t="s">
        <v>42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42</v>
      </c>
      <c r="AF18" s="34" t="s">
        <v>45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42</v>
      </c>
      <c r="AO18" s="28" t="s">
        <v>46</v>
      </c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Mar</v>
      </c>
      <c r="AV18" s="11">
        <f t="shared" si="3"/>
        <v>19</v>
      </c>
      <c r="AW18" s="11">
        <f t="shared" si="4"/>
        <v>3</v>
      </c>
      <c r="AX18" s="11">
        <f t="shared" si="5"/>
        <v>5</v>
      </c>
      <c r="AY18" s="11">
        <f t="shared" si="6"/>
        <v>5</v>
      </c>
      <c r="AZ18" s="13">
        <f t="shared" si="7"/>
        <v>31</v>
      </c>
      <c r="BA18" s="13">
        <f>(marrepo[[#This Row],[Days]]-marrepo[[#This Row],[Absent]])</f>
        <v>28</v>
      </c>
      <c r="BB18" s="11">
        <f t="shared" ca="1" si="8"/>
        <v>18367</v>
      </c>
      <c r="BC18" s="13">
        <f ca="1">(marrepo[[#This Row],[Salary]]/marrepo[[#This Row],[Paid Days]])</f>
        <v>655.96428571428567</v>
      </c>
      <c r="BD18" s="13">
        <f ca="1">marrepo[[#This Row],[Salary]]*marrepo[[#This Row],[Absent]]</f>
        <v>55101</v>
      </c>
      <c r="BE18" s="13">
        <f ca="1">marrepo[[#This Row],[Salary]]-marrepo[[#This Row],[Deduction]]</f>
        <v>-36734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9"/>
        <v>5</v>
      </c>
      <c r="K19" s="34" t="s">
        <v>42</v>
      </c>
      <c r="L19" s="34" t="s">
        <v>42</v>
      </c>
      <c r="M19" s="34" t="s">
        <v>45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42</v>
      </c>
      <c r="T19" s="34" t="s">
        <v>42</v>
      </c>
      <c r="U19" s="34" t="s">
        <v>46</v>
      </c>
      <c r="V19" s="34" t="s">
        <v>44</v>
      </c>
      <c r="W19" s="34" t="s">
        <v>45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42</v>
      </c>
      <c r="AN19" s="34" t="s">
        <v>42</v>
      </c>
      <c r="AO19" s="28" t="s">
        <v>46</v>
      </c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Mar</v>
      </c>
      <c r="AV19" s="11">
        <f t="shared" si="3"/>
        <v>20</v>
      </c>
      <c r="AW19" s="11">
        <f t="shared" si="4"/>
        <v>2</v>
      </c>
      <c r="AX19" s="11">
        <f t="shared" si="5"/>
        <v>5</v>
      </c>
      <c r="AY19" s="11">
        <f t="shared" si="6"/>
        <v>5</v>
      </c>
      <c r="AZ19" s="13">
        <f t="shared" si="7"/>
        <v>31</v>
      </c>
      <c r="BA19" s="13">
        <f>(marrepo[[#This Row],[Days]]-marrepo[[#This Row],[Absent]])</f>
        <v>29</v>
      </c>
      <c r="BB19" s="11">
        <f t="shared" ca="1" si="8"/>
        <v>20293</v>
      </c>
      <c r="BC19" s="13">
        <f ca="1">(marrepo[[#This Row],[Salary]]/marrepo[[#This Row],[Paid Days]])</f>
        <v>699.75862068965512</v>
      </c>
      <c r="BD19" s="13">
        <f ca="1">marrepo[[#This Row],[Salary]]*marrepo[[#This Row],[Absent]]</f>
        <v>40586</v>
      </c>
      <c r="BE19" s="13">
        <f ca="1">marrepo[[#This Row],[Salary]]-marrepo[[#This Row],[Deduction]]</f>
        <v>-20293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9"/>
        <v>5</v>
      </c>
      <c r="K20" s="34" t="s">
        <v>42</v>
      </c>
      <c r="L20" s="34" t="s">
        <v>42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42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42</v>
      </c>
      <c r="X20" s="34" t="s">
        <v>42</v>
      </c>
      <c r="Y20" s="34" t="s">
        <v>42</v>
      </c>
      <c r="Z20" s="34" t="s">
        <v>42</v>
      </c>
      <c r="AA20" s="34" t="s">
        <v>42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42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42</v>
      </c>
      <c r="AN20" s="34" t="s">
        <v>42</v>
      </c>
      <c r="AO20" s="28" t="s">
        <v>46</v>
      </c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Mar</v>
      </c>
      <c r="AV20" s="11">
        <f t="shared" si="3"/>
        <v>22</v>
      </c>
      <c r="AW20" s="11">
        <f t="shared" si="4"/>
        <v>0</v>
      </c>
      <c r="AX20" s="11">
        <f t="shared" si="5"/>
        <v>5</v>
      </c>
      <c r="AY20" s="11">
        <f t="shared" si="6"/>
        <v>5</v>
      </c>
      <c r="AZ20" s="13">
        <f t="shared" si="7"/>
        <v>31</v>
      </c>
      <c r="BA20" s="13">
        <f>(marrepo[[#This Row],[Days]]-marrepo[[#This Row],[Absent]])</f>
        <v>31</v>
      </c>
      <c r="BB20" s="11">
        <f t="shared" ca="1" si="8"/>
        <v>23094</v>
      </c>
      <c r="BC20" s="13">
        <f ca="1">(marrepo[[#This Row],[Salary]]/marrepo[[#This Row],[Paid Days]])</f>
        <v>744.9677419354839</v>
      </c>
      <c r="BD20" s="13">
        <f ca="1">marrepo[[#This Row],[Salary]]*marrepo[[#This Row],[Absent]]</f>
        <v>0</v>
      </c>
      <c r="BE20" s="13">
        <f ca="1">marrepo[[#This Row],[Salary]]-marrepo[[#This Row],[Deduction]]</f>
        <v>23094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9"/>
        <v>5</v>
      </c>
      <c r="K21" s="34" t="s">
        <v>42</v>
      </c>
      <c r="L21" s="34" t="s">
        <v>42</v>
      </c>
      <c r="M21" s="34" t="s">
        <v>42</v>
      </c>
      <c r="N21" s="34" t="s">
        <v>46</v>
      </c>
      <c r="O21" s="34" t="s">
        <v>44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42</v>
      </c>
      <c r="U21" s="34" t="s">
        <v>46</v>
      </c>
      <c r="V21" s="34" t="s">
        <v>44</v>
      </c>
      <c r="W21" s="34" t="s">
        <v>42</v>
      </c>
      <c r="X21" s="34" t="s">
        <v>42</v>
      </c>
      <c r="Y21" s="34" t="s">
        <v>42</v>
      </c>
      <c r="Z21" s="34" t="s">
        <v>45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45</v>
      </c>
      <c r="AO21" s="28" t="s">
        <v>46</v>
      </c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Mar</v>
      </c>
      <c r="AV21" s="11">
        <f t="shared" si="3"/>
        <v>20</v>
      </c>
      <c r="AW21" s="11">
        <f t="shared" si="4"/>
        <v>2</v>
      </c>
      <c r="AX21" s="11">
        <f t="shared" si="5"/>
        <v>5</v>
      </c>
      <c r="AY21" s="11">
        <f t="shared" si="6"/>
        <v>5</v>
      </c>
      <c r="AZ21" s="13">
        <f t="shared" si="7"/>
        <v>31</v>
      </c>
      <c r="BA21" s="13">
        <f>(marrepo[[#This Row],[Days]]-marrepo[[#This Row],[Absent]])</f>
        <v>29</v>
      </c>
      <c r="BB21" s="11">
        <f t="shared" ca="1" si="8"/>
        <v>11776</v>
      </c>
      <c r="BC21" s="13">
        <f ca="1">(marrepo[[#This Row],[Salary]]/marrepo[[#This Row],[Paid Days]])</f>
        <v>406.06896551724139</v>
      </c>
      <c r="BD21" s="13">
        <f ca="1">marrepo[[#This Row],[Salary]]*marrepo[[#This Row],[Absent]]</f>
        <v>23552</v>
      </c>
      <c r="BE21" s="13">
        <f ca="1">marrepo[[#This Row],[Salary]]-marrepo[[#This Row],[Deduction]]</f>
        <v>-11776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9"/>
        <v>5</v>
      </c>
      <c r="K22" s="34" t="s">
        <v>42</v>
      </c>
      <c r="L22" s="34" t="s">
        <v>42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45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45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42</v>
      </c>
      <c r="AL22" s="34" t="s">
        <v>42</v>
      </c>
      <c r="AM22" s="34" t="s">
        <v>42</v>
      </c>
      <c r="AN22" s="34" t="s">
        <v>42</v>
      </c>
      <c r="AO22" s="28" t="s">
        <v>46</v>
      </c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Mar</v>
      </c>
      <c r="AV22" s="11">
        <f t="shared" si="3"/>
        <v>20</v>
      </c>
      <c r="AW22" s="11">
        <f t="shared" si="4"/>
        <v>2</v>
      </c>
      <c r="AX22" s="11">
        <f t="shared" si="5"/>
        <v>5</v>
      </c>
      <c r="AY22" s="11">
        <f t="shared" si="6"/>
        <v>5</v>
      </c>
      <c r="AZ22" s="13">
        <f t="shared" si="7"/>
        <v>31</v>
      </c>
      <c r="BA22" s="13">
        <f>(marrepo[[#This Row],[Days]]-marrepo[[#This Row],[Absent]])</f>
        <v>29</v>
      </c>
      <c r="BB22" s="11">
        <f t="shared" ca="1" si="8"/>
        <v>14710</v>
      </c>
      <c r="BC22" s="13">
        <f ca="1">(marrepo[[#This Row],[Salary]]/marrepo[[#This Row],[Paid Days]])</f>
        <v>507.24137931034483</v>
      </c>
      <c r="BD22" s="13">
        <f ca="1">marrepo[[#This Row],[Salary]]*marrepo[[#This Row],[Absent]]</f>
        <v>29420</v>
      </c>
      <c r="BE22" s="13">
        <f ca="1">marrepo[[#This Row],[Salary]]-marrepo[[#This Row],[Deduction]]</f>
        <v>-14710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9"/>
        <v>5</v>
      </c>
      <c r="K23" s="34" t="s">
        <v>42</v>
      </c>
      <c r="L23" s="34" t="s">
        <v>42</v>
      </c>
      <c r="M23" s="34" t="s">
        <v>42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45</v>
      </c>
      <c r="AE23" s="34" t="s">
        <v>42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42</v>
      </c>
      <c r="AL23" s="34" t="s">
        <v>45</v>
      </c>
      <c r="AM23" s="34" t="s">
        <v>42</v>
      </c>
      <c r="AN23" s="34" t="s">
        <v>42</v>
      </c>
      <c r="AO23" s="28" t="s">
        <v>46</v>
      </c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Mar</v>
      </c>
      <c r="AV23" s="11">
        <f t="shared" si="3"/>
        <v>20</v>
      </c>
      <c r="AW23" s="11">
        <f t="shared" si="4"/>
        <v>2</v>
      </c>
      <c r="AX23" s="11">
        <f t="shared" si="5"/>
        <v>5</v>
      </c>
      <c r="AY23" s="11">
        <f t="shared" si="6"/>
        <v>5</v>
      </c>
      <c r="AZ23" s="13">
        <f t="shared" si="7"/>
        <v>31</v>
      </c>
      <c r="BA23" s="13">
        <f>(marrepo[[#This Row],[Days]]-marrepo[[#This Row],[Absent]])</f>
        <v>29</v>
      </c>
      <c r="BB23" s="11">
        <f t="shared" ca="1" si="8"/>
        <v>16104</v>
      </c>
      <c r="BC23" s="13">
        <f ca="1">(marrepo[[#This Row],[Salary]]/marrepo[[#This Row],[Paid Days]])</f>
        <v>555.31034482758616</v>
      </c>
      <c r="BD23" s="13">
        <f ca="1">marrepo[[#This Row],[Salary]]*marrepo[[#This Row],[Absent]]</f>
        <v>32208</v>
      </c>
      <c r="BE23" s="13">
        <f ca="1">marrepo[[#This Row],[Salary]]-marrepo[[#This Row],[Deduction]]</f>
        <v>-16104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9"/>
        <v>5</v>
      </c>
      <c r="K24" s="34" t="s">
        <v>42</v>
      </c>
      <c r="L24" s="34" t="s">
        <v>42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42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42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42</v>
      </c>
      <c r="AN24" s="34" t="s">
        <v>42</v>
      </c>
      <c r="AO24" s="28" t="s">
        <v>46</v>
      </c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Mar</v>
      </c>
      <c r="AV24" s="11">
        <f t="shared" si="3"/>
        <v>22</v>
      </c>
      <c r="AW24" s="11">
        <f t="shared" si="4"/>
        <v>0</v>
      </c>
      <c r="AX24" s="11">
        <f t="shared" si="5"/>
        <v>5</v>
      </c>
      <c r="AY24" s="11">
        <f t="shared" si="6"/>
        <v>5</v>
      </c>
      <c r="AZ24" s="13">
        <f t="shared" si="7"/>
        <v>31</v>
      </c>
      <c r="BA24" s="13">
        <f>(marrepo[[#This Row],[Days]]-marrepo[[#This Row],[Absent]])</f>
        <v>31</v>
      </c>
      <c r="BB24" s="11">
        <f t="shared" ca="1" si="8"/>
        <v>14219</v>
      </c>
      <c r="BC24" s="13">
        <f ca="1">(marrepo[[#This Row],[Salary]]/marrepo[[#This Row],[Paid Days]])</f>
        <v>458.67741935483872</v>
      </c>
      <c r="BD24" s="13">
        <f ca="1">marrepo[[#This Row],[Salary]]*marrepo[[#This Row],[Absent]]</f>
        <v>0</v>
      </c>
      <c r="BE24" s="13">
        <f ca="1">marrepo[[#This Row],[Salary]]-marrepo[[#This Row],[Deduction]]</f>
        <v>14219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9"/>
        <v>5</v>
      </c>
      <c r="K25" s="34" t="s">
        <v>42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42</v>
      </c>
      <c r="Q25" s="34" t="s">
        <v>42</v>
      </c>
      <c r="R25" s="34" t="s">
        <v>45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42</v>
      </c>
      <c r="Z25" s="34" t="s">
        <v>42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42</v>
      </c>
      <c r="AG25" s="34" t="s">
        <v>42</v>
      </c>
      <c r="AH25" s="34" t="s">
        <v>42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42</v>
      </c>
      <c r="AO25" s="28" t="s">
        <v>46</v>
      </c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Mar</v>
      </c>
      <c r="AV25" s="11">
        <f t="shared" si="3"/>
        <v>21</v>
      </c>
      <c r="AW25" s="11">
        <f t="shared" si="4"/>
        <v>1</v>
      </c>
      <c r="AX25" s="11">
        <f t="shared" si="5"/>
        <v>5</v>
      </c>
      <c r="AY25" s="11">
        <f t="shared" si="6"/>
        <v>5</v>
      </c>
      <c r="AZ25" s="13">
        <f t="shared" si="7"/>
        <v>31</v>
      </c>
      <c r="BA25" s="13">
        <f>(marrepo[[#This Row],[Days]]-marrepo[[#This Row],[Absent]])</f>
        <v>30</v>
      </c>
      <c r="BB25" s="11">
        <f t="shared" ca="1" si="8"/>
        <v>21273</v>
      </c>
      <c r="BC25" s="13">
        <f ca="1">(marrepo[[#This Row],[Salary]]/marrepo[[#This Row],[Paid Days]])</f>
        <v>709.1</v>
      </c>
      <c r="BD25" s="13">
        <f ca="1">marrepo[[#This Row],[Salary]]*marrepo[[#This Row],[Absent]]</f>
        <v>21273</v>
      </c>
      <c r="BE25" s="13">
        <f ca="1">marrepo[[#This Row],[Salary]]-marrepo[[#This Row],[Deduction]]</f>
        <v>0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9"/>
        <v>5</v>
      </c>
      <c r="K26" s="34" t="s">
        <v>42</v>
      </c>
      <c r="L26" s="34" t="s">
        <v>45</v>
      </c>
      <c r="M26" s="34" t="s">
        <v>42</v>
      </c>
      <c r="N26" s="34" t="s">
        <v>46</v>
      </c>
      <c r="O26" s="34" t="s">
        <v>44</v>
      </c>
      <c r="P26" s="34" t="s">
        <v>42</v>
      </c>
      <c r="Q26" s="34" t="s">
        <v>42</v>
      </c>
      <c r="R26" s="34" t="s">
        <v>42</v>
      </c>
      <c r="S26" s="34" t="s">
        <v>42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42</v>
      </c>
      <c r="Y26" s="34" t="s">
        <v>42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42</v>
      </c>
      <c r="AM26" s="34" t="s">
        <v>42</v>
      </c>
      <c r="AN26" s="34" t="s">
        <v>42</v>
      </c>
      <c r="AO26" s="28" t="s">
        <v>46</v>
      </c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Mar</v>
      </c>
      <c r="AV26" s="11">
        <f t="shared" si="3"/>
        <v>21</v>
      </c>
      <c r="AW26" s="11">
        <f t="shared" si="4"/>
        <v>1</v>
      </c>
      <c r="AX26" s="11">
        <f t="shared" si="5"/>
        <v>5</v>
      </c>
      <c r="AY26" s="11">
        <f t="shared" si="6"/>
        <v>5</v>
      </c>
      <c r="AZ26" s="13">
        <f t="shared" si="7"/>
        <v>31</v>
      </c>
      <c r="BA26" s="13">
        <f>(marrepo[[#This Row],[Days]]-marrepo[[#This Row],[Absent]])</f>
        <v>30</v>
      </c>
      <c r="BB26" s="11">
        <f t="shared" ca="1" si="8"/>
        <v>15674</v>
      </c>
      <c r="BC26" s="13">
        <f ca="1">(marrepo[[#This Row],[Salary]]/marrepo[[#This Row],[Paid Days]])</f>
        <v>522.4666666666667</v>
      </c>
      <c r="BD26" s="13">
        <f ca="1">marrepo[[#This Row],[Salary]]*marrepo[[#This Row],[Absent]]</f>
        <v>15674</v>
      </c>
      <c r="BE26" s="13">
        <f ca="1">marrepo[[#This Row],[Salary]]-marrepo[[#This Row],[Deduction]]</f>
        <v>0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9"/>
        <v>5</v>
      </c>
      <c r="K27" s="34" t="s">
        <v>42</v>
      </c>
      <c r="L27" s="34" t="s">
        <v>42</v>
      </c>
      <c r="M27" s="34" t="s">
        <v>42</v>
      </c>
      <c r="N27" s="34" t="s">
        <v>46</v>
      </c>
      <c r="O27" s="34" t="s">
        <v>44</v>
      </c>
      <c r="P27" s="34" t="s">
        <v>42</v>
      </c>
      <c r="Q27" s="34" t="s">
        <v>42</v>
      </c>
      <c r="R27" s="34" t="s">
        <v>42</v>
      </c>
      <c r="S27" s="34" t="s">
        <v>42</v>
      </c>
      <c r="T27" s="34" t="s">
        <v>42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42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42</v>
      </c>
      <c r="AN27" s="34" t="s">
        <v>42</v>
      </c>
      <c r="AO27" s="28" t="s">
        <v>46</v>
      </c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Mar</v>
      </c>
      <c r="AV27" s="11">
        <f t="shared" si="3"/>
        <v>22</v>
      </c>
      <c r="AW27" s="11">
        <f t="shared" si="4"/>
        <v>0</v>
      </c>
      <c r="AX27" s="11">
        <f t="shared" si="5"/>
        <v>5</v>
      </c>
      <c r="AY27" s="11">
        <f t="shared" si="6"/>
        <v>5</v>
      </c>
      <c r="AZ27" s="13">
        <f t="shared" si="7"/>
        <v>31</v>
      </c>
      <c r="BA27" s="13">
        <f>(marrepo[[#This Row],[Days]]-marrepo[[#This Row],[Absent]])</f>
        <v>31</v>
      </c>
      <c r="BB27" s="11">
        <f t="shared" ca="1" si="8"/>
        <v>23347</v>
      </c>
      <c r="BC27" s="13">
        <f ca="1">(marrepo[[#This Row],[Salary]]/marrepo[[#This Row],[Paid Days]])</f>
        <v>753.12903225806451</v>
      </c>
      <c r="BD27" s="13">
        <f ca="1">marrepo[[#This Row],[Salary]]*marrepo[[#This Row],[Absent]]</f>
        <v>0</v>
      </c>
      <c r="BE27" s="13">
        <f ca="1">marrepo[[#This Row],[Salary]]-marrepo[[#This Row],[Deduction]]</f>
        <v>23347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9"/>
        <v>5</v>
      </c>
      <c r="K28" s="31" t="s">
        <v>42</v>
      </c>
      <c r="L28" s="31" t="s">
        <v>42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1" t="s">
        <v>42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1" t="s">
        <v>42</v>
      </c>
      <c r="AO28" s="32" t="s">
        <v>46</v>
      </c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Mar</v>
      </c>
      <c r="AV28" s="11">
        <f t="shared" si="3"/>
        <v>22</v>
      </c>
      <c r="AW28" s="11">
        <f t="shared" si="4"/>
        <v>0</v>
      </c>
      <c r="AX28" s="11">
        <f t="shared" si="5"/>
        <v>5</v>
      </c>
      <c r="AY28" s="11">
        <f t="shared" si="6"/>
        <v>5</v>
      </c>
      <c r="AZ28" s="13">
        <f t="shared" si="7"/>
        <v>31</v>
      </c>
      <c r="BA28" s="13">
        <f>(marrepo[[#This Row],[Days]]-marrepo[[#This Row],[Absent]])</f>
        <v>31</v>
      </c>
      <c r="BB28" s="11">
        <f t="shared" ca="1" si="8"/>
        <v>22543</v>
      </c>
      <c r="BC28" s="13">
        <f ca="1">(marrepo[[#This Row],[Salary]]/marrepo[[#This Row],[Paid Days]])</f>
        <v>727.19354838709683</v>
      </c>
      <c r="BD28" s="13">
        <f ca="1">marrepo[[#This Row],[Salary]]*marrepo[[#This Row],[Absent]]</f>
        <v>0</v>
      </c>
      <c r="BE28" s="13">
        <f ca="1">marrepo[[#This Row],[Salary]]-marrepo[[#This Row],[Deduction]]</f>
        <v>22543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s="15" customFormat="1" ht="15" customHeight="1" x14ac:dyDescent="0.25"/>
    <row r="34" s="15" customFormat="1" ht="15" customHeight="1" x14ac:dyDescent="0.25"/>
    <row r="35" s="15" customFormat="1" ht="15" customHeight="1" x14ac:dyDescent="0.25"/>
    <row r="36" s="15" customFormat="1" ht="15" customHeight="1" x14ac:dyDescent="0.25"/>
    <row r="37" s="15" customFormat="1" ht="15" customHeight="1" x14ac:dyDescent="0.25"/>
    <row r="38" s="15" customFormat="1" ht="15" customHeight="1" x14ac:dyDescent="0.25"/>
    <row r="39" s="15" customFormat="1" ht="15" customHeight="1" x14ac:dyDescent="0.25"/>
    <row r="40" s="15" customFormat="1" ht="15" customHeight="1" x14ac:dyDescent="0.25"/>
    <row r="41" s="15" customFormat="1" ht="15" customHeight="1" x14ac:dyDescent="0.25"/>
    <row r="42" s="15" customFormat="1" ht="15" customHeight="1" x14ac:dyDescent="0.25"/>
    <row r="43" s="15" customFormat="1" ht="15" customHeight="1" x14ac:dyDescent="0.25"/>
    <row r="44" s="15" customFormat="1" ht="15" customHeight="1" x14ac:dyDescent="0.25"/>
  </sheetData>
  <mergeCells count="1">
    <mergeCell ref="G7:I7"/>
  </mergeCells>
  <conditionalFormatting sqref="K7:AO8 O10:O28 V10:V28 AC10:AC28 AJ10:AJ28">
    <cfRule type="containsText" dxfId="80" priority="25" operator="containsText" text="WO">
      <formula>NOT(ISERROR(SEARCH("WO",K7)))</formula>
    </cfRule>
  </conditionalFormatting>
  <conditionalFormatting sqref="K8:AO8 O10:O28 V10:V28 AC10:AC28 AJ10:AJ28">
    <cfRule type="containsText" dxfId="79" priority="23" operator="containsText" text="A">
      <formula>NOT(ISERROR(SEARCH("A",K8)))</formula>
    </cfRule>
    <cfRule type="containsText" dxfId="78" priority="24" operator="containsText" text="P">
      <formula>NOT(ISERROR(SEARCH("P",K8)))</formula>
    </cfRule>
  </conditionalFormatting>
  <conditionalFormatting sqref="K9:AO28">
    <cfRule type="containsText" dxfId="77" priority="1" operator="containsText" text="A">
      <formula>NOT(ISERROR(SEARCH("A",K9)))</formula>
    </cfRule>
    <cfRule type="containsText" dxfId="76" priority="2" operator="containsText" text="P">
      <formula>NOT(ISERROR(SEARCH("P",K9)))</formula>
    </cfRule>
    <cfRule type="containsText" dxfId="75" priority="3" operator="containsText" text="WO">
      <formula>NOT(ISERROR(SEARCH("WO",K9)))</formula>
    </cfRule>
  </conditionalFormatting>
  <conditionalFormatting sqref="O10:O28 V10:V28 AC10:AC28 AJ10:AJ28 K8:AO8">
    <cfRule type="containsText" dxfId="74" priority="22" operator="containsText" text="L">
      <formula>NOT(ISERROR(SEARCH("L",K8)))</formula>
    </cfRule>
  </conditionalFormatting>
  <conditionalFormatting sqref="AP9">
    <cfRule type="containsText" dxfId="73" priority="21" operator="containsText" text="WO">
      <formula>NOT(ISERROR(SEARCH("WO",AP9)))</formula>
    </cfRule>
  </conditionalFormatting>
  <dataValidations count="1">
    <dataValidation type="list" allowBlank="1" showInputMessage="1" showErrorMessage="1" sqref="K9:AO28" xr:uid="{903016E2-8358-4A9B-9D8B-14A5128E185A}">
      <formula1>"P,A,L,WO"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34FE75-7FA0-44A4-A1B8-0FB20E39E4F9}">
          <x14:formula1>
            <xm:f>Sheet3!$A$1:$A$12</xm:f>
          </x14:formula1>
          <xm:sqref>H4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BE81-8288-4D6C-BAAD-2A6400B8E911}">
  <dimension ref="D1:BG44"/>
  <sheetViews>
    <sheetView topLeftCell="AE6" zoomScale="98" zoomScaleNormal="98" workbookViewId="0">
      <selection activeCell="AV19" sqref="AV19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45748</v>
      </c>
      <c r="I4" s="19">
        <f>(DATEDIF($H$4,$L$4,"D")+1)</f>
        <v>30</v>
      </c>
      <c r="J4" s="17" t="str">
        <f>TEXT(H4,"mmm")</f>
        <v>Apr</v>
      </c>
      <c r="K4" s="17" t="s">
        <v>27</v>
      </c>
      <c r="L4" s="18">
        <f>EOMONTH(H4,0)</f>
        <v>45777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Tue</v>
      </c>
      <c r="L7" s="5" t="str">
        <f t="shared" ref="L7:AO7" si="0">TEXT(L8,"ddd")</f>
        <v>Wed</v>
      </c>
      <c r="M7" s="5" t="str">
        <f t="shared" si="0"/>
        <v>Thu</v>
      </c>
      <c r="N7" s="5" t="str">
        <f t="shared" si="0"/>
        <v>Fri</v>
      </c>
      <c r="O7" s="5" t="str">
        <f t="shared" si="0"/>
        <v>Sat</v>
      </c>
      <c r="P7" s="5" t="str">
        <f t="shared" si="0"/>
        <v>Sun</v>
      </c>
      <c r="Q7" s="5" t="str">
        <f t="shared" si="0"/>
        <v>Mon</v>
      </c>
      <c r="R7" s="5" t="str">
        <f t="shared" si="0"/>
        <v>Tue</v>
      </c>
      <c r="S7" s="5" t="str">
        <f t="shared" si="0"/>
        <v>Wed</v>
      </c>
      <c r="T7" s="5" t="str">
        <f t="shared" si="0"/>
        <v>Thu</v>
      </c>
      <c r="U7" s="5" t="str">
        <f t="shared" si="0"/>
        <v>Fri</v>
      </c>
      <c r="V7" s="5" t="str">
        <f t="shared" si="0"/>
        <v>Sat</v>
      </c>
      <c r="W7" s="5" t="str">
        <f t="shared" si="0"/>
        <v>Sun</v>
      </c>
      <c r="X7" s="5" t="str">
        <f t="shared" si="0"/>
        <v>Mon</v>
      </c>
      <c r="Y7" s="5" t="str">
        <f t="shared" si="0"/>
        <v>Tue</v>
      </c>
      <c r="Z7" s="5" t="str">
        <f t="shared" si="0"/>
        <v>Wed</v>
      </c>
      <c r="AA7" s="5" t="str">
        <f t="shared" si="0"/>
        <v>Thu</v>
      </c>
      <c r="AB7" s="5" t="str">
        <f t="shared" si="0"/>
        <v>Fri</v>
      </c>
      <c r="AC7" s="5" t="str">
        <f t="shared" si="0"/>
        <v>Sat</v>
      </c>
      <c r="AD7" s="5" t="str">
        <f t="shared" si="0"/>
        <v>Sun</v>
      </c>
      <c r="AE7" s="5" t="str">
        <f t="shared" si="0"/>
        <v>Mon</v>
      </c>
      <c r="AF7" s="5" t="str">
        <f t="shared" si="0"/>
        <v>Tue</v>
      </c>
      <c r="AG7" s="5" t="str">
        <f t="shared" si="0"/>
        <v>Wed</v>
      </c>
      <c r="AH7" s="5" t="str">
        <f t="shared" si="0"/>
        <v>Thu</v>
      </c>
      <c r="AI7" s="5" t="str">
        <f t="shared" si="0"/>
        <v>Fri</v>
      </c>
      <c r="AJ7" s="5" t="str">
        <f t="shared" si="0"/>
        <v>Sat</v>
      </c>
      <c r="AK7" s="5" t="str">
        <f t="shared" si="0"/>
        <v>Sun</v>
      </c>
      <c r="AL7" s="5" t="str">
        <f t="shared" si="0"/>
        <v>Mon</v>
      </c>
      <c r="AM7" s="5" t="str">
        <f t="shared" si="0"/>
        <v>Tue</v>
      </c>
      <c r="AN7" s="5" t="str">
        <f t="shared" si="0"/>
        <v>Wed</v>
      </c>
      <c r="AO7" s="6" t="str">
        <f t="shared" si="0"/>
        <v/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45748</v>
      </c>
      <c r="L8" s="23">
        <f t="shared" ref="L8:AO8" si="1">IF(K8&lt;$L$4,K8+1,"")</f>
        <v>45749</v>
      </c>
      <c r="M8" s="23">
        <f t="shared" si="1"/>
        <v>45750</v>
      </c>
      <c r="N8" s="23">
        <f t="shared" si="1"/>
        <v>45751</v>
      </c>
      <c r="O8" s="23">
        <f t="shared" si="1"/>
        <v>45752</v>
      </c>
      <c r="P8" s="23">
        <f t="shared" si="1"/>
        <v>45753</v>
      </c>
      <c r="Q8" s="23">
        <f t="shared" si="1"/>
        <v>45754</v>
      </c>
      <c r="R8" s="23">
        <f t="shared" si="1"/>
        <v>45755</v>
      </c>
      <c r="S8" s="23">
        <f t="shared" si="1"/>
        <v>45756</v>
      </c>
      <c r="T8" s="23">
        <f t="shared" si="1"/>
        <v>45757</v>
      </c>
      <c r="U8" s="23">
        <f t="shared" si="1"/>
        <v>45758</v>
      </c>
      <c r="V8" s="23">
        <f t="shared" si="1"/>
        <v>45759</v>
      </c>
      <c r="W8" s="23">
        <f t="shared" si="1"/>
        <v>45760</v>
      </c>
      <c r="X8" s="23">
        <f t="shared" si="1"/>
        <v>45761</v>
      </c>
      <c r="Y8" s="23">
        <f t="shared" si="1"/>
        <v>45762</v>
      </c>
      <c r="Z8" s="23">
        <f t="shared" si="1"/>
        <v>45763</v>
      </c>
      <c r="AA8" s="23">
        <f t="shared" si="1"/>
        <v>45764</v>
      </c>
      <c r="AB8" s="23">
        <f t="shared" si="1"/>
        <v>45765</v>
      </c>
      <c r="AC8" s="23">
        <f t="shared" si="1"/>
        <v>45766</v>
      </c>
      <c r="AD8" s="23">
        <f t="shared" si="1"/>
        <v>45767</v>
      </c>
      <c r="AE8" s="23">
        <f t="shared" si="1"/>
        <v>45768</v>
      </c>
      <c r="AF8" s="23">
        <f t="shared" si="1"/>
        <v>45769</v>
      </c>
      <c r="AG8" s="23">
        <f t="shared" si="1"/>
        <v>45770</v>
      </c>
      <c r="AH8" s="23">
        <f t="shared" si="1"/>
        <v>45771</v>
      </c>
      <c r="AI8" s="23">
        <f t="shared" si="1"/>
        <v>45772</v>
      </c>
      <c r="AJ8" s="23">
        <f t="shared" si="1"/>
        <v>45773</v>
      </c>
      <c r="AK8" s="23">
        <f t="shared" si="1"/>
        <v>45774</v>
      </c>
      <c r="AL8" s="23">
        <f t="shared" si="1"/>
        <v>45775</v>
      </c>
      <c r="AM8" s="23">
        <f t="shared" si="1"/>
        <v>45776</v>
      </c>
      <c r="AN8" s="23">
        <f t="shared" si="1"/>
        <v>45777</v>
      </c>
      <c r="AO8" s="24" t="str">
        <f t="shared" si="1"/>
        <v/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4</v>
      </c>
      <c r="K9" s="34" t="s">
        <v>45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42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46</v>
      </c>
      <c r="AO9" s="28" t="s">
        <v>42</v>
      </c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Apr</v>
      </c>
      <c r="AV9" s="11">
        <f t="shared" ref="AV9:AV28" si="3">COUNTIF($K9:$AO9,"P")</f>
        <v>21</v>
      </c>
      <c r="AW9" s="11">
        <f t="shared" ref="AW9:AW28" si="4">COUNTIF($K9:$AO9,"A")</f>
        <v>1</v>
      </c>
      <c r="AX9" s="11">
        <f t="shared" ref="AX9:AX28" si="5">COUNTIF($K8:$AO8,"L")</f>
        <v>0</v>
      </c>
      <c r="AY9" s="11">
        <f t="shared" ref="AY9:AY28" si="6">$J$9</f>
        <v>4</v>
      </c>
      <c r="AZ9" s="13">
        <f t="shared" ref="AZ9:AZ28" si="7">$I$4</f>
        <v>30</v>
      </c>
      <c r="BA9" s="13">
        <f>(aprrepo[[#This Row],[Days]]-aprrepo[[#This Row],[Absent]])</f>
        <v>29</v>
      </c>
      <c r="BB9" s="11">
        <f t="shared" ref="BB9:BB28" ca="1" si="8">RANDBETWEEN(10000,25000)</f>
        <v>18344</v>
      </c>
      <c r="BC9" s="13">
        <f ca="1">(aprrepo[[#This Row],[Salary]]/aprrepo[[#This Row],[Paid Days]])</f>
        <v>632.55172413793105</v>
      </c>
      <c r="BD9" s="13">
        <f ca="1">aprrepo[[#This Row],[Salary]]*aprrepo[[#This Row],[Absent]]</f>
        <v>18344</v>
      </c>
      <c r="BE9" s="13">
        <f ca="1">aprrepo[[#This Row],[Salary]]-aprrepo[[#This Row],[Deduction]]</f>
        <v>0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9">COUNTIF($K$7:$AO$7,"Sun")</f>
        <v>4</v>
      </c>
      <c r="K10" s="34" t="s">
        <v>42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42</v>
      </c>
      <c r="Q10" s="34" t="s">
        <v>42</v>
      </c>
      <c r="R10" s="34" t="s">
        <v>42</v>
      </c>
      <c r="S10" s="34" t="s">
        <v>42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45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42</v>
      </c>
      <c r="AN10" s="34" t="s">
        <v>46</v>
      </c>
      <c r="AO10" s="28" t="s">
        <v>42</v>
      </c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Apr</v>
      </c>
      <c r="AV10" s="11">
        <f t="shared" si="3"/>
        <v>21</v>
      </c>
      <c r="AW10" s="11">
        <f t="shared" si="4"/>
        <v>1</v>
      </c>
      <c r="AX10" s="11">
        <f t="shared" si="5"/>
        <v>5</v>
      </c>
      <c r="AY10" s="11">
        <f t="shared" si="6"/>
        <v>4</v>
      </c>
      <c r="AZ10" s="13">
        <f t="shared" si="7"/>
        <v>30</v>
      </c>
      <c r="BA10" s="13">
        <f>(aprrepo[[#This Row],[Days]]-aprrepo[[#This Row],[Absent]])</f>
        <v>29</v>
      </c>
      <c r="BB10" s="11">
        <f t="shared" ca="1" si="8"/>
        <v>10804</v>
      </c>
      <c r="BC10" s="13">
        <f ca="1">(aprrepo[[#This Row],[Salary]]/aprrepo[[#This Row],[Paid Days]])</f>
        <v>372.55172413793105</v>
      </c>
      <c r="BD10" s="13">
        <f ca="1">aprrepo[[#This Row],[Salary]]*aprrepo[[#This Row],[Absent]]</f>
        <v>10804</v>
      </c>
      <c r="BE10" s="13">
        <f ca="1">aprrepo[[#This Row],[Salary]]-aprrepo[[#This Row],[Deduction]]</f>
        <v>0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9"/>
        <v>4</v>
      </c>
      <c r="K11" s="34" t="s">
        <v>42</v>
      </c>
      <c r="L11" s="34" t="s">
        <v>45</v>
      </c>
      <c r="M11" s="34" t="s">
        <v>42</v>
      </c>
      <c r="N11" s="34" t="s">
        <v>46</v>
      </c>
      <c r="O11" s="34" t="s">
        <v>44</v>
      </c>
      <c r="P11" s="34" t="s">
        <v>42</v>
      </c>
      <c r="Q11" s="34" t="s">
        <v>42</v>
      </c>
      <c r="R11" s="34" t="s">
        <v>45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42</v>
      </c>
      <c r="X11" s="34" t="s">
        <v>42</v>
      </c>
      <c r="Y11" s="34" t="s">
        <v>45</v>
      </c>
      <c r="Z11" s="34" t="s">
        <v>42</v>
      </c>
      <c r="AA11" s="34" t="s">
        <v>42</v>
      </c>
      <c r="AB11" s="34" t="s">
        <v>46</v>
      </c>
      <c r="AC11" s="34" t="s">
        <v>44</v>
      </c>
      <c r="AD11" s="34" t="s">
        <v>42</v>
      </c>
      <c r="AE11" s="34" t="s">
        <v>42</v>
      </c>
      <c r="AF11" s="34" t="s">
        <v>42</v>
      </c>
      <c r="AG11" s="34" t="s">
        <v>42</v>
      </c>
      <c r="AH11" s="34" t="s">
        <v>42</v>
      </c>
      <c r="AI11" s="34" t="s">
        <v>46</v>
      </c>
      <c r="AJ11" s="34" t="s">
        <v>44</v>
      </c>
      <c r="AK11" s="34" t="s">
        <v>42</v>
      </c>
      <c r="AL11" s="34" t="s">
        <v>42</v>
      </c>
      <c r="AM11" s="34" t="s">
        <v>42</v>
      </c>
      <c r="AN11" s="34" t="s">
        <v>46</v>
      </c>
      <c r="AO11" s="28" t="s">
        <v>42</v>
      </c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Apr</v>
      </c>
      <c r="AV11" s="11">
        <f t="shared" si="3"/>
        <v>19</v>
      </c>
      <c r="AW11" s="11">
        <f t="shared" si="4"/>
        <v>3</v>
      </c>
      <c r="AX11" s="11">
        <f t="shared" si="5"/>
        <v>5</v>
      </c>
      <c r="AY11" s="11">
        <f t="shared" si="6"/>
        <v>4</v>
      </c>
      <c r="AZ11" s="13">
        <f t="shared" si="7"/>
        <v>30</v>
      </c>
      <c r="BA11" s="13">
        <f>(aprrepo[[#This Row],[Days]]-aprrepo[[#This Row],[Absent]])</f>
        <v>27</v>
      </c>
      <c r="BB11" s="11">
        <f t="shared" ca="1" si="8"/>
        <v>10221</v>
      </c>
      <c r="BC11" s="13">
        <f ca="1">(aprrepo[[#This Row],[Salary]]/aprrepo[[#This Row],[Paid Days]])</f>
        <v>378.55555555555554</v>
      </c>
      <c r="BD11" s="13">
        <f ca="1">aprrepo[[#This Row],[Salary]]*aprrepo[[#This Row],[Absent]]</f>
        <v>30663</v>
      </c>
      <c r="BE11" s="13">
        <f ca="1">aprrepo[[#This Row],[Salary]]-aprrepo[[#This Row],[Deduction]]</f>
        <v>-20442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9"/>
        <v>4</v>
      </c>
      <c r="K12" s="34" t="s">
        <v>42</v>
      </c>
      <c r="L12" s="34" t="s">
        <v>42</v>
      </c>
      <c r="M12" s="34" t="s">
        <v>42</v>
      </c>
      <c r="N12" s="34" t="s">
        <v>46</v>
      </c>
      <c r="O12" s="34" t="s">
        <v>44</v>
      </c>
      <c r="P12" s="34" t="s">
        <v>42</v>
      </c>
      <c r="Q12" s="34" t="s">
        <v>42</v>
      </c>
      <c r="R12" s="34" t="s">
        <v>42</v>
      </c>
      <c r="S12" s="34" t="s">
        <v>42</v>
      </c>
      <c r="T12" s="34" t="s">
        <v>42</v>
      </c>
      <c r="U12" s="34" t="s">
        <v>46</v>
      </c>
      <c r="V12" s="34" t="s">
        <v>44</v>
      </c>
      <c r="W12" s="34" t="s">
        <v>42</v>
      </c>
      <c r="X12" s="34" t="s">
        <v>42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42</v>
      </c>
      <c r="AE12" s="34" t="s">
        <v>42</v>
      </c>
      <c r="AF12" s="34" t="s">
        <v>42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42</v>
      </c>
      <c r="AL12" s="34" t="s">
        <v>42</v>
      </c>
      <c r="AM12" s="34" t="s">
        <v>42</v>
      </c>
      <c r="AN12" s="34" t="s">
        <v>46</v>
      </c>
      <c r="AO12" s="28" t="s">
        <v>42</v>
      </c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Apr</v>
      </c>
      <c r="AV12" s="11">
        <f t="shared" si="3"/>
        <v>22</v>
      </c>
      <c r="AW12" s="11">
        <f t="shared" si="4"/>
        <v>0</v>
      </c>
      <c r="AX12" s="11">
        <f t="shared" si="5"/>
        <v>5</v>
      </c>
      <c r="AY12" s="11">
        <f t="shared" si="6"/>
        <v>4</v>
      </c>
      <c r="AZ12" s="13">
        <f t="shared" si="7"/>
        <v>30</v>
      </c>
      <c r="BA12" s="13">
        <f>(aprrepo[[#This Row],[Days]]-aprrepo[[#This Row],[Absent]])</f>
        <v>30</v>
      </c>
      <c r="BB12" s="11">
        <f t="shared" ca="1" si="8"/>
        <v>20935</v>
      </c>
      <c r="BC12" s="13">
        <f ca="1">(aprrepo[[#This Row],[Salary]]/aprrepo[[#This Row],[Paid Days]])</f>
        <v>697.83333333333337</v>
      </c>
      <c r="BD12" s="13">
        <f ca="1">aprrepo[[#This Row],[Salary]]*aprrepo[[#This Row],[Absent]]</f>
        <v>0</v>
      </c>
      <c r="BE12" s="13">
        <f ca="1">aprrepo[[#This Row],[Salary]]-aprrepo[[#This Row],[Deduction]]</f>
        <v>20935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9"/>
        <v>4</v>
      </c>
      <c r="K13" s="34" t="s">
        <v>42</v>
      </c>
      <c r="L13" s="34" t="s">
        <v>45</v>
      </c>
      <c r="M13" s="34" t="s">
        <v>42</v>
      </c>
      <c r="N13" s="34" t="s">
        <v>46</v>
      </c>
      <c r="O13" s="34" t="s">
        <v>44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42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42</v>
      </c>
      <c r="AN13" s="34" t="s">
        <v>46</v>
      </c>
      <c r="AO13" s="28" t="s">
        <v>42</v>
      </c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Apr</v>
      </c>
      <c r="AV13" s="11">
        <f t="shared" si="3"/>
        <v>21</v>
      </c>
      <c r="AW13" s="11">
        <f t="shared" si="4"/>
        <v>1</v>
      </c>
      <c r="AX13" s="11">
        <f t="shared" si="5"/>
        <v>5</v>
      </c>
      <c r="AY13" s="11">
        <f t="shared" si="6"/>
        <v>4</v>
      </c>
      <c r="AZ13" s="13">
        <f t="shared" si="7"/>
        <v>30</v>
      </c>
      <c r="BA13" s="13">
        <f>(aprrepo[[#This Row],[Days]]-aprrepo[[#This Row],[Absent]])</f>
        <v>29</v>
      </c>
      <c r="BB13" s="11">
        <f t="shared" ca="1" si="8"/>
        <v>10064</v>
      </c>
      <c r="BC13" s="13">
        <f ca="1">(aprrepo[[#This Row],[Salary]]/aprrepo[[#This Row],[Paid Days]])</f>
        <v>347.0344827586207</v>
      </c>
      <c r="BD13" s="13">
        <f ca="1">aprrepo[[#This Row],[Salary]]*aprrepo[[#This Row],[Absent]]</f>
        <v>10064</v>
      </c>
      <c r="BE13" s="13">
        <f ca="1">aprrepo[[#This Row],[Salary]]-aprrepo[[#This Row],[Deduction]]</f>
        <v>0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9"/>
        <v>4</v>
      </c>
      <c r="K14" s="34" t="s">
        <v>42</v>
      </c>
      <c r="L14" s="34" t="s">
        <v>42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42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42</v>
      </c>
      <c r="AL14" s="34" t="s">
        <v>42</v>
      </c>
      <c r="AM14" s="34" t="s">
        <v>42</v>
      </c>
      <c r="AN14" s="34" t="s">
        <v>46</v>
      </c>
      <c r="AO14" s="28" t="s">
        <v>42</v>
      </c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Apr</v>
      </c>
      <c r="AV14" s="11">
        <f t="shared" si="3"/>
        <v>22</v>
      </c>
      <c r="AW14" s="11">
        <f t="shared" si="4"/>
        <v>0</v>
      </c>
      <c r="AX14" s="11">
        <f t="shared" si="5"/>
        <v>5</v>
      </c>
      <c r="AY14" s="11">
        <f t="shared" si="6"/>
        <v>4</v>
      </c>
      <c r="AZ14" s="13">
        <f t="shared" si="7"/>
        <v>30</v>
      </c>
      <c r="BA14" s="13">
        <f>(aprrepo[[#This Row],[Days]]-aprrepo[[#This Row],[Absent]])</f>
        <v>30</v>
      </c>
      <c r="BB14" s="11">
        <f t="shared" ca="1" si="8"/>
        <v>13213</v>
      </c>
      <c r="BC14" s="13">
        <f ca="1">(aprrepo[[#This Row],[Salary]]/aprrepo[[#This Row],[Paid Days]])</f>
        <v>440.43333333333334</v>
      </c>
      <c r="BD14" s="13">
        <f ca="1">aprrepo[[#This Row],[Salary]]*aprrepo[[#This Row],[Absent]]</f>
        <v>0</v>
      </c>
      <c r="BE14" s="13">
        <f ca="1">aprrepo[[#This Row],[Salary]]-aprrepo[[#This Row],[Deduction]]</f>
        <v>13213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9"/>
        <v>4</v>
      </c>
      <c r="K15" s="34" t="s">
        <v>42</v>
      </c>
      <c r="L15" s="34" t="s">
        <v>42</v>
      </c>
      <c r="M15" s="34" t="s">
        <v>42</v>
      </c>
      <c r="N15" s="34" t="s">
        <v>46</v>
      </c>
      <c r="O15" s="34" t="s">
        <v>44</v>
      </c>
      <c r="P15" s="34" t="s">
        <v>42</v>
      </c>
      <c r="Q15" s="34" t="s">
        <v>42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42</v>
      </c>
      <c r="Y15" s="34" t="s">
        <v>42</v>
      </c>
      <c r="Z15" s="34" t="s">
        <v>42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42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42</v>
      </c>
      <c r="AL15" s="34" t="s">
        <v>45</v>
      </c>
      <c r="AM15" s="34" t="s">
        <v>42</v>
      </c>
      <c r="AN15" s="34" t="s">
        <v>46</v>
      </c>
      <c r="AO15" s="28" t="s">
        <v>42</v>
      </c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Apr</v>
      </c>
      <c r="AV15" s="11">
        <f t="shared" si="3"/>
        <v>21</v>
      </c>
      <c r="AW15" s="11">
        <f t="shared" si="4"/>
        <v>1</v>
      </c>
      <c r="AX15" s="11">
        <f t="shared" si="5"/>
        <v>5</v>
      </c>
      <c r="AY15" s="11">
        <f t="shared" si="6"/>
        <v>4</v>
      </c>
      <c r="AZ15" s="13">
        <f t="shared" si="7"/>
        <v>30</v>
      </c>
      <c r="BA15" s="13">
        <f>(aprrepo[[#This Row],[Days]]-aprrepo[[#This Row],[Absent]])</f>
        <v>29</v>
      </c>
      <c r="BB15" s="11">
        <f t="shared" ca="1" si="8"/>
        <v>24191</v>
      </c>
      <c r="BC15" s="13">
        <f ca="1">(aprrepo[[#This Row],[Salary]]/aprrepo[[#This Row],[Paid Days]])</f>
        <v>834.17241379310349</v>
      </c>
      <c r="BD15" s="13">
        <f ca="1">aprrepo[[#This Row],[Salary]]*aprrepo[[#This Row],[Absent]]</f>
        <v>24191</v>
      </c>
      <c r="BE15" s="13">
        <f ca="1">aprrepo[[#This Row],[Salary]]-aprrepo[[#This Row],[Deduction]]</f>
        <v>0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9"/>
        <v>4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42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45</v>
      </c>
      <c r="AG16" s="34" t="s">
        <v>42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46</v>
      </c>
      <c r="AO16" s="28" t="s">
        <v>42</v>
      </c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Apr</v>
      </c>
      <c r="AV16" s="11">
        <f t="shared" si="3"/>
        <v>21</v>
      </c>
      <c r="AW16" s="11">
        <f t="shared" si="4"/>
        <v>1</v>
      </c>
      <c r="AX16" s="11">
        <f t="shared" si="5"/>
        <v>5</v>
      </c>
      <c r="AY16" s="11">
        <f t="shared" si="6"/>
        <v>4</v>
      </c>
      <c r="AZ16" s="13">
        <f t="shared" si="7"/>
        <v>30</v>
      </c>
      <c r="BA16" s="13">
        <f>(aprrepo[[#This Row],[Days]]-aprrepo[[#This Row],[Absent]])</f>
        <v>29</v>
      </c>
      <c r="BB16" s="11">
        <f t="shared" ca="1" si="8"/>
        <v>21795</v>
      </c>
      <c r="BC16" s="13">
        <f ca="1">(aprrepo[[#This Row],[Salary]]/aprrepo[[#This Row],[Paid Days]])</f>
        <v>751.55172413793105</v>
      </c>
      <c r="BD16" s="13">
        <f ca="1">aprrepo[[#This Row],[Salary]]*aprrepo[[#This Row],[Absent]]</f>
        <v>21795</v>
      </c>
      <c r="BE16" s="13">
        <f ca="1">aprrepo[[#This Row],[Salary]]-aprrepo[[#This Row],[Deduction]]</f>
        <v>0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9"/>
        <v>4</v>
      </c>
      <c r="K17" s="34" t="s">
        <v>42</v>
      </c>
      <c r="L17" s="34" t="s">
        <v>42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42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45</v>
      </c>
      <c r="Y17" s="34" t="s">
        <v>42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42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46</v>
      </c>
      <c r="AO17" s="28" t="s">
        <v>42</v>
      </c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Apr</v>
      </c>
      <c r="AV17" s="11">
        <f t="shared" si="3"/>
        <v>21</v>
      </c>
      <c r="AW17" s="11">
        <f t="shared" si="4"/>
        <v>1</v>
      </c>
      <c r="AX17" s="11">
        <f t="shared" si="5"/>
        <v>5</v>
      </c>
      <c r="AY17" s="11">
        <f t="shared" si="6"/>
        <v>4</v>
      </c>
      <c r="AZ17" s="13">
        <f t="shared" si="7"/>
        <v>30</v>
      </c>
      <c r="BA17" s="13">
        <f>(aprrepo[[#This Row],[Days]]-aprrepo[[#This Row],[Absent]])</f>
        <v>29</v>
      </c>
      <c r="BB17" s="11">
        <f t="shared" ca="1" si="8"/>
        <v>19381</v>
      </c>
      <c r="BC17" s="13">
        <f ca="1">(aprrepo[[#This Row],[Salary]]/aprrepo[[#This Row],[Paid Days]])</f>
        <v>668.31034482758616</v>
      </c>
      <c r="BD17" s="13">
        <f ca="1">aprrepo[[#This Row],[Salary]]*aprrepo[[#This Row],[Absent]]</f>
        <v>19381</v>
      </c>
      <c r="BE17" s="13">
        <f ca="1">aprrepo[[#This Row],[Salary]]-aprrepo[[#This Row],[Deduction]]</f>
        <v>0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9"/>
        <v>4</v>
      </c>
      <c r="K18" s="34" t="s">
        <v>42</v>
      </c>
      <c r="L18" s="34" t="s">
        <v>45</v>
      </c>
      <c r="M18" s="34" t="s">
        <v>42</v>
      </c>
      <c r="N18" s="34" t="s">
        <v>46</v>
      </c>
      <c r="O18" s="34" t="s">
        <v>44</v>
      </c>
      <c r="P18" s="34" t="s">
        <v>42</v>
      </c>
      <c r="Q18" s="34" t="s">
        <v>45</v>
      </c>
      <c r="R18" s="34" t="s">
        <v>42</v>
      </c>
      <c r="S18" s="34" t="s">
        <v>45</v>
      </c>
      <c r="T18" s="34" t="s">
        <v>42</v>
      </c>
      <c r="U18" s="34" t="s">
        <v>46</v>
      </c>
      <c r="V18" s="34" t="s">
        <v>44</v>
      </c>
      <c r="W18" s="34" t="s">
        <v>42</v>
      </c>
      <c r="X18" s="34" t="s">
        <v>42</v>
      </c>
      <c r="Y18" s="34" t="s">
        <v>42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42</v>
      </c>
      <c r="AF18" s="34" t="s">
        <v>42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45</v>
      </c>
      <c r="AL18" s="34" t="s">
        <v>42</v>
      </c>
      <c r="AM18" s="34" t="s">
        <v>42</v>
      </c>
      <c r="AN18" s="34" t="s">
        <v>46</v>
      </c>
      <c r="AO18" s="28" t="s">
        <v>42</v>
      </c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Apr</v>
      </c>
      <c r="AV18" s="11">
        <f t="shared" si="3"/>
        <v>18</v>
      </c>
      <c r="AW18" s="11">
        <f t="shared" si="4"/>
        <v>4</v>
      </c>
      <c r="AX18" s="11">
        <f t="shared" si="5"/>
        <v>5</v>
      </c>
      <c r="AY18" s="11">
        <f t="shared" si="6"/>
        <v>4</v>
      </c>
      <c r="AZ18" s="13">
        <f t="shared" si="7"/>
        <v>30</v>
      </c>
      <c r="BA18" s="13">
        <f>(aprrepo[[#This Row],[Days]]-aprrepo[[#This Row],[Absent]])</f>
        <v>26</v>
      </c>
      <c r="BB18" s="11">
        <f t="shared" ca="1" si="8"/>
        <v>13766</v>
      </c>
      <c r="BC18" s="13">
        <f ca="1">(aprrepo[[#This Row],[Salary]]/aprrepo[[#This Row],[Paid Days]])</f>
        <v>529.46153846153845</v>
      </c>
      <c r="BD18" s="13">
        <f ca="1">aprrepo[[#This Row],[Salary]]*aprrepo[[#This Row],[Absent]]</f>
        <v>55064</v>
      </c>
      <c r="BE18" s="13">
        <f ca="1">aprrepo[[#This Row],[Salary]]-aprrepo[[#This Row],[Deduction]]</f>
        <v>-41298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9"/>
        <v>4</v>
      </c>
      <c r="K19" s="34" t="s">
        <v>42</v>
      </c>
      <c r="L19" s="34" t="s">
        <v>42</v>
      </c>
      <c r="M19" s="34" t="s">
        <v>42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42</v>
      </c>
      <c r="T19" s="34" t="s">
        <v>42</v>
      </c>
      <c r="U19" s="34" t="s">
        <v>46</v>
      </c>
      <c r="V19" s="34" t="s">
        <v>44</v>
      </c>
      <c r="W19" s="34" t="s">
        <v>42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42</v>
      </c>
      <c r="AN19" s="34" t="s">
        <v>46</v>
      </c>
      <c r="AO19" s="34" t="s">
        <v>45</v>
      </c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Apr</v>
      </c>
      <c r="AV19" s="11">
        <f t="shared" si="3"/>
        <v>21</v>
      </c>
      <c r="AW19" s="11">
        <f t="shared" si="4"/>
        <v>1</v>
      </c>
      <c r="AX19" s="11">
        <f t="shared" si="5"/>
        <v>5</v>
      </c>
      <c r="AY19" s="11">
        <f t="shared" si="6"/>
        <v>4</v>
      </c>
      <c r="AZ19" s="13">
        <f t="shared" si="7"/>
        <v>30</v>
      </c>
      <c r="BA19" s="13">
        <f>(aprrepo[[#This Row],[Days]]-aprrepo[[#This Row],[Absent]])</f>
        <v>29</v>
      </c>
      <c r="BB19" s="11">
        <f t="shared" ca="1" si="8"/>
        <v>15226</v>
      </c>
      <c r="BC19" s="13">
        <f ca="1">(aprrepo[[#This Row],[Salary]]/aprrepo[[#This Row],[Paid Days]])</f>
        <v>525.0344827586207</v>
      </c>
      <c r="BD19" s="13">
        <f ca="1">aprrepo[[#This Row],[Salary]]*aprrepo[[#This Row],[Absent]]</f>
        <v>15226</v>
      </c>
      <c r="BE19" s="13">
        <f ca="1">aprrepo[[#This Row],[Salary]]-aprrepo[[#This Row],[Deduction]]</f>
        <v>0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9"/>
        <v>4</v>
      </c>
      <c r="K20" s="34" t="s">
        <v>42</v>
      </c>
      <c r="L20" s="34" t="s">
        <v>42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42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42</v>
      </c>
      <c r="X20" s="34" t="s">
        <v>42</v>
      </c>
      <c r="Y20" s="34" t="s">
        <v>42</v>
      </c>
      <c r="Z20" s="34" t="s">
        <v>42</v>
      </c>
      <c r="AA20" s="34" t="s">
        <v>42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42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42</v>
      </c>
      <c r="AN20" s="34" t="s">
        <v>46</v>
      </c>
      <c r="AO20" s="28" t="s">
        <v>42</v>
      </c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Apr</v>
      </c>
      <c r="AV20" s="11">
        <f t="shared" si="3"/>
        <v>22</v>
      </c>
      <c r="AW20" s="11">
        <f t="shared" si="4"/>
        <v>0</v>
      </c>
      <c r="AX20" s="11">
        <f t="shared" si="5"/>
        <v>5</v>
      </c>
      <c r="AY20" s="11">
        <f t="shared" si="6"/>
        <v>4</v>
      </c>
      <c r="AZ20" s="13">
        <f t="shared" si="7"/>
        <v>30</v>
      </c>
      <c r="BA20" s="13">
        <f>(aprrepo[[#This Row],[Days]]-aprrepo[[#This Row],[Absent]])</f>
        <v>30</v>
      </c>
      <c r="BB20" s="11">
        <f t="shared" ca="1" si="8"/>
        <v>17162</v>
      </c>
      <c r="BC20" s="13">
        <f ca="1">(aprrepo[[#This Row],[Salary]]/aprrepo[[#This Row],[Paid Days]])</f>
        <v>572.06666666666672</v>
      </c>
      <c r="BD20" s="13">
        <f ca="1">aprrepo[[#This Row],[Salary]]*aprrepo[[#This Row],[Absent]]</f>
        <v>0</v>
      </c>
      <c r="BE20" s="13">
        <f ca="1">aprrepo[[#This Row],[Salary]]-aprrepo[[#This Row],[Deduction]]</f>
        <v>17162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9"/>
        <v>4</v>
      </c>
      <c r="K21" s="34" t="s">
        <v>42</v>
      </c>
      <c r="L21" s="34" t="s">
        <v>42</v>
      </c>
      <c r="M21" s="34" t="s">
        <v>42</v>
      </c>
      <c r="N21" s="34" t="s">
        <v>46</v>
      </c>
      <c r="O21" s="34" t="s">
        <v>44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42</v>
      </c>
      <c r="U21" s="34" t="s">
        <v>46</v>
      </c>
      <c r="V21" s="34" t="s">
        <v>44</v>
      </c>
      <c r="W21" s="34" t="s">
        <v>42</v>
      </c>
      <c r="X21" s="34" t="s">
        <v>42</v>
      </c>
      <c r="Y21" s="34" t="s">
        <v>42</v>
      </c>
      <c r="Z21" s="34" t="s">
        <v>42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46</v>
      </c>
      <c r="AO21" s="28" t="s">
        <v>42</v>
      </c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Apr</v>
      </c>
      <c r="AV21" s="11">
        <f t="shared" si="3"/>
        <v>22</v>
      </c>
      <c r="AW21" s="11">
        <f t="shared" si="4"/>
        <v>0</v>
      </c>
      <c r="AX21" s="11">
        <f t="shared" si="5"/>
        <v>5</v>
      </c>
      <c r="AY21" s="11">
        <f t="shared" si="6"/>
        <v>4</v>
      </c>
      <c r="AZ21" s="13">
        <f t="shared" si="7"/>
        <v>30</v>
      </c>
      <c r="BA21" s="13">
        <f>(aprrepo[[#This Row],[Days]]-aprrepo[[#This Row],[Absent]])</f>
        <v>30</v>
      </c>
      <c r="BB21" s="11">
        <f t="shared" ca="1" si="8"/>
        <v>18445</v>
      </c>
      <c r="BC21" s="13">
        <f ca="1">(aprrepo[[#This Row],[Salary]]/aprrepo[[#This Row],[Paid Days]])</f>
        <v>614.83333333333337</v>
      </c>
      <c r="BD21" s="13">
        <f ca="1">aprrepo[[#This Row],[Salary]]*aprrepo[[#This Row],[Absent]]</f>
        <v>0</v>
      </c>
      <c r="BE21" s="13">
        <f ca="1">aprrepo[[#This Row],[Salary]]-aprrepo[[#This Row],[Deduction]]</f>
        <v>18445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9"/>
        <v>4</v>
      </c>
      <c r="K22" s="34" t="s">
        <v>42</v>
      </c>
      <c r="L22" s="34" t="s">
        <v>42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45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42</v>
      </c>
      <c r="AL22" s="34" t="s">
        <v>42</v>
      </c>
      <c r="AM22" s="34" t="s">
        <v>42</v>
      </c>
      <c r="AN22" s="34" t="s">
        <v>46</v>
      </c>
      <c r="AO22" s="28" t="s">
        <v>42</v>
      </c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Apr</v>
      </c>
      <c r="AV22" s="11">
        <f t="shared" si="3"/>
        <v>21</v>
      </c>
      <c r="AW22" s="11">
        <f t="shared" si="4"/>
        <v>1</v>
      </c>
      <c r="AX22" s="11">
        <f t="shared" si="5"/>
        <v>5</v>
      </c>
      <c r="AY22" s="11">
        <f t="shared" si="6"/>
        <v>4</v>
      </c>
      <c r="AZ22" s="13">
        <f t="shared" si="7"/>
        <v>30</v>
      </c>
      <c r="BA22" s="13">
        <f>(aprrepo[[#This Row],[Days]]-aprrepo[[#This Row],[Absent]])</f>
        <v>29</v>
      </c>
      <c r="BB22" s="11">
        <f t="shared" ca="1" si="8"/>
        <v>10799</v>
      </c>
      <c r="BC22" s="13">
        <f ca="1">(aprrepo[[#This Row],[Salary]]/aprrepo[[#This Row],[Paid Days]])</f>
        <v>372.37931034482756</v>
      </c>
      <c r="BD22" s="13">
        <f ca="1">aprrepo[[#This Row],[Salary]]*aprrepo[[#This Row],[Absent]]</f>
        <v>10799</v>
      </c>
      <c r="BE22" s="13">
        <f ca="1">aprrepo[[#This Row],[Salary]]-aprrepo[[#This Row],[Deduction]]</f>
        <v>0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9"/>
        <v>4</v>
      </c>
      <c r="K23" s="34" t="s">
        <v>42</v>
      </c>
      <c r="L23" s="34" t="s">
        <v>42</v>
      </c>
      <c r="M23" s="34" t="s">
        <v>42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42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42</v>
      </c>
      <c r="AL23" s="34" t="s">
        <v>42</v>
      </c>
      <c r="AM23" s="34" t="s">
        <v>42</v>
      </c>
      <c r="AN23" s="34" t="s">
        <v>46</v>
      </c>
      <c r="AO23" s="28" t="s">
        <v>42</v>
      </c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Apr</v>
      </c>
      <c r="AV23" s="11">
        <f t="shared" si="3"/>
        <v>22</v>
      </c>
      <c r="AW23" s="11">
        <f t="shared" si="4"/>
        <v>0</v>
      </c>
      <c r="AX23" s="11">
        <f t="shared" si="5"/>
        <v>5</v>
      </c>
      <c r="AY23" s="11">
        <f t="shared" si="6"/>
        <v>4</v>
      </c>
      <c r="AZ23" s="13">
        <f t="shared" si="7"/>
        <v>30</v>
      </c>
      <c r="BA23" s="13">
        <f>(aprrepo[[#This Row],[Days]]-aprrepo[[#This Row],[Absent]])</f>
        <v>30</v>
      </c>
      <c r="BB23" s="11">
        <f t="shared" ca="1" si="8"/>
        <v>15502</v>
      </c>
      <c r="BC23" s="13">
        <f ca="1">(aprrepo[[#This Row],[Salary]]/aprrepo[[#This Row],[Paid Days]])</f>
        <v>516.73333333333335</v>
      </c>
      <c r="BD23" s="13">
        <f ca="1">aprrepo[[#This Row],[Salary]]*aprrepo[[#This Row],[Absent]]</f>
        <v>0</v>
      </c>
      <c r="BE23" s="13">
        <f ca="1">aprrepo[[#This Row],[Salary]]-aprrepo[[#This Row],[Deduction]]</f>
        <v>15502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9"/>
        <v>4</v>
      </c>
      <c r="K24" s="34" t="s">
        <v>42</v>
      </c>
      <c r="L24" s="34" t="s">
        <v>42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42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42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45</v>
      </c>
      <c r="AN24" s="34" t="s">
        <v>46</v>
      </c>
      <c r="AO24" s="28" t="s">
        <v>42</v>
      </c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Apr</v>
      </c>
      <c r="AV24" s="11">
        <f t="shared" si="3"/>
        <v>21</v>
      </c>
      <c r="AW24" s="11">
        <f t="shared" si="4"/>
        <v>1</v>
      </c>
      <c r="AX24" s="11">
        <f t="shared" si="5"/>
        <v>5</v>
      </c>
      <c r="AY24" s="11">
        <f t="shared" si="6"/>
        <v>4</v>
      </c>
      <c r="AZ24" s="13">
        <f t="shared" si="7"/>
        <v>30</v>
      </c>
      <c r="BA24" s="13">
        <f>(aprrepo[[#This Row],[Days]]-aprrepo[[#This Row],[Absent]])</f>
        <v>29</v>
      </c>
      <c r="BB24" s="11">
        <f t="shared" ca="1" si="8"/>
        <v>19977</v>
      </c>
      <c r="BC24" s="13">
        <f ca="1">(aprrepo[[#This Row],[Salary]]/aprrepo[[#This Row],[Paid Days]])</f>
        <v>688.86206896551721</v>
      </c>
      <c r="BD24" s="13">
        <f ca="1">aprrepo[[#This Row],[Salary]]*aprrepo[[#This Row],[Absent]]</f>
        <v>19977</v>
      </c>
      <c r="BE24" s="13">
        <f ca="1">aprrepo[[#This Row],[Salary]]-aprrepo[[#This Row],[Deduction]]</f>
        <v>0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9"/>
        <v>4</v>
      </c>
      <c r="K25" s="34" t="s">
        <v>42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42</v>
      </c>
      <c r="Q25" s="34" t="s">
        <v>42</v>
      </c>
      <c r="R25" s="34" t="s">
        <v>42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42</v>
      </c>
      <c r="Z25" s="34" t="s">
        <v>42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45</v>
      </c>
      <c r="AG25" s="34" t="s">
        <v>42</v>
      </c>
      <c r="AH25" s="34" t="s">
        <v>45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46</v>
      </c>
      <c r="AO25" s="28" t="s">
        <v>42</v>
      </c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Apr</v>
      </c>
      <c r="AV25" s="11">
        <f t="shared" si="3"/>
        <v>20</v>
      </c>
      <c r="AW25" s="11">
        <f t="shared" si="4"/>
        <v>2</v>
      </c>
      <c r="AX25" s="11">
        <f t="shared" si="5"/>
        <v>5</v>
      </c>
      <c r="AY25" s="11">
        <f t="shared" si="6"/>
        <v>4</v>
      </c>
      <c r="AZ25" s="13">
        <f t="shared" si="7"/>
        <v>30</v>
      </c>
      <c r="BA25" s="13">
        <f>(aprrepo[[#This Row],[Days]]-aprrepo[[#This Row],[Absent]])</f>
        <v>28</v>
      </c>
      <c r="BB25" s="11">
        <f t="shared" ca="1" si="8"/>
        <v>14565</v>
      </c>
      <c r="BC25" s="13">
        <f ca="1">(aprrepo[[#This Row],[Salary]]/aprrepo[[#This Row],[Paid Days]])</f>
        <v>520.17857142857144</v>
      </c>
      <c r="BD25" s="13">
        <f ca="1">aprrepo[[#This Row],[Salary]]*aprrepo[[#This Row],[Absent]]</f>
        <v>29130</v>
      </c>
      <c r="BE25" s="13">
        <f ca="1">aprrepo[[#This Row],[Salary]]-aprrepo[[#This Row],[Deduction]]</f>
        <v>-14565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9"/>
        <v>4</v>
      </c>
      <c r="K26" s="34" t="s">
        <v>42</v>
      </c>
      <c r="L26" s="34" t="s">
        <v>42</v>
      </c>
      <c r="M26" s="34" t="s">
        <v>42</v>
      </c>
      <c r="N26" s="34" t="s">
        <v>46</v>
      </c>
      <c r="O26" s="34" t="s">
        <v>44</v>
      </c>
      <c r="P26" s="34" t="s">
        <v>42</v>
      </c>
      <c r="Q26" s="34" t="s">
        <v>42</v>
      </c>
      <c r="R26" s="34" t="s">
        <v>42</v>
      </c>
      <c r="S26" s="34" t="s">
        <v>42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42</v>
      </c>
      <c r="Y26" s="34" t="s">
        <v>45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42</v>
      </c>
      <c r="AM26" s="34" t="s">
        <v>42</v>
      </c>
      <c r="AN26" s="34" t="s">
        <v>46</v>
      </c>
      <c r="AO26" s="28" t="s">
        <v>42</v>
      </c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Apr</v>
      </c>
      <c r="AV26" s="11">
        <f t="shared" si="3"/>
        <v>21</v>
      </c>
      <c r="AW26" s="11">
        <f t="shared" si="4"/>
        <v>1</v>
      </c>
      <c r="AX26" s="11">
        <f t="shared" si="5"/>
        <v>5</v>
      </c>
      <c r="AY26" s="11">
        <f t="shared" si="6"/>
        <v>4</v>
      </c>
      <c r="AZ26" s="13">
        <f t="shared" si="7"/>
        <v>30</v>
      </c>
      <c r="BA26" s="13">
        <f>(aprrepo[[#This Row],[Days]]-aprrepo[[#This Row],[Absent]])</f>
        <v>29</v>
      </c>
      <c r="BB26" s="11">
        <f t="shared" ca="1" si="8"/>
        <v>17436</v>
      </c>
      <c r="BC26" s="13">
        <f ca="1">(aprrepo[[#This Row],[Salary]]/aprrepo[[#This Row],[Paid Days]])</f>
        <v>601.24137931034488</v>
      </c>
      <c r="BD26" s="13">
        <f ca="1">aprrepo[[#This Row],[Salary]]*aprrepo[[#This Row],[Absent]]</f>
        <v>17436</v>
      </c>
      <c r="BE26" s="13">
        <f ca="1">aprrepo[[#This Row],[Salary]]-aprrepo[[#This Row],[Deduction]]</f>
        <v>0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9"/>
        <v>4</v>
      </c>
      <c r="K27" s="34" t="s">
        <v>45</v>
      </c>
      <c r="L27" s="34" t="s">
        <v>42</v>
      </c>
      <c r="M27" s="34" t="s">
        <v>42</v>
      </c>
      <c r="N27" s="34" t="s">
        <v>46</v>
      </c>
      <c r="O27" s="34" t="s">
        <v>44</v>
      </c>
      <c r="P27" s="34" t="s">
        <v>42</v>
      </c>
      <c r="Q27" s="34" t="s">
        <v>42</v>
      </c>
      <c r="R27" s="34" t="s">
        <v>42</v>
      </c>
      <c r="S27" s="34" t="s">
        <v>42</v>
      </c>
      <c r="T27" s="34" t="s">
        <v>42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42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42</v>
      </c>
      <c r="AN27" s="34" t="s">
        <v>46</v>
      </c>
      <c r="AO27" s="28" t="s">
        <v>42</v>
      </c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Apr</v>
      </c>
      <c r="AV27" s="11">
        <f t="shared" si="3"/>
        <v>21</v>
      </c>
      <c r="AW27" s="11">
        <f t="shared" si="4"/>
        <v>1</v>
      </c>
      <c r="AX27" s="11">
        <f t="shared" si="5"/>
        <v>5</v>
      </c>
      <c r="AY27" s="11">
        <f t="shared" si="6"/>
        <v>4</v>
      </c>
      <c r="AZ27" s="13">
        <f t="shared" si="7"/>
        <v>30</v>
      </c>
      <c r="BA27" s="13">
        <f>(aprrepo[[#This Row],[Days]]-aprrepo[[#This Row],[Absent]])</f>
        <v>29</v>
      </c>
      <c r="BB27" s="11">
        <f t="shared" ca="1" si="8"/>
        <v>23072</v>
      </c>
      <c r="BC27" s="13">
        <f ca="1">(aprrepo[[#This Row],[Salary]]/aprrepo[[#This Row],[Paid Days]])</f>
        <v>795.58620689655174</v>
      </c>
      <c r="BD27" s="13">
        <f ca="1">aprrepo[[#This Row],[Salary]]*aprrepo[[#This Row],[Absent]]</f>
        <v>23072</v>
      </c>
      <c r="BE27" s="13">
        <f ca="1">aprrepo[[#This Row],[Salary]]-aprrepo[[#This Row],[Deduction]]</f>
        <v>0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9"/>
        <v>4</v>
      </c>
      <c r="K28" s="31" t="s">
        <v>42</v>
      </c>
      <c r="L28" s="31" t="s">
        <v>42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1" t="s">
        <v>42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1" t="s">
        <v>46</v>
      </c>
      <c r="AO28" s="32" t="s">
        <v>42</v>
      </c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Apr</v>
      </c>
      <c r="AV28" s="11">
        <f t="shared" si="3"/>
        <v>22</v>
      </c>
      <c r="AW28" s="11">
        <f t="shared" si="4"/>
        <v>0</v>
      </c>
      <c r="AX28" s="11">
        <f t="shared" si="5"/>
        <v>5</v>
      </c>
      <c r="AY28" s="11">
        <f t="shared" si="6"/>
        <v>4</v>
      </c>
      <c r="AZ28" s="13">
        <f t="shared" si="7"/>
        <v>30</v>
      </c>
      <c r="BA28" s="13">
        <f>(aprrepo[[#This Row],[Days]]-aprrepo[[#This Row],[Absent]])</f>
        <v>30</v>
      </c>
      <c r="BB28" s="11">
        <f t="shared" ca="1" si="8"/>
        <v>21698</v>
      </c>
      <c r="BC28" s="13">
        <f ca="1">(aprrepo[[#This Row],[Salary]]/aprrepo[[#This Row],[Paid Days]])</f>
        <v>723.26666666666665</v>
      </c>
      <c r="BD28" s="13">
        <f ca="1">aprrepo[[#This Row],[Salary]]*aprrepo[[#This Row],[Absent]]</f>
        <v>0</v>
      </c>
      <c r="BE28" s="13">
        <f ca="1">aprrepo[[#This Row],[Salary]]-aprrepo[[#This Row],[Deduction]]</f>
        <v>21698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mergeCells count="1">
    <mergeCell ref="G7:I7"/>
  </mergeCells>
  <conditionalFormatting sqref="K9:AN28 AO10:AO28">
    <cfRule type="containsText" dxfId="72" priority="3" operator="containsText" text="WO">
      <formula>NOT(ISERROR(SEARCH("WO",K9)))</formula>
    </cfRule>
  </conditionalFormatting>
  <conditionalFormatting sqref="K7:AO8 O10:O28 V10:V28 AC10:AC28 AJ10:AJ28">
    <cfRule type="containsText" dxfId="71" priority="25" operator="containsText" text="WO">
      <formula>NOT(ISERROR(SEARCH("WO",K7)))</formula>
    </cfRule>
  </conditionalFormatting>
  <conditionalFormatting sqref="K8:AO8 O10:O28 V10:V28 AC10:AC28 AJ10:AJ28">
    <cfRule type="containsText" dxfId="70" priority="23" operator="containsText" text="A">
      <formula>NOT(ISERROR(SEARCH("A",K8)))</formula>
    </cfRule>
    <cfRule type="containsText" dxfId="69" priority="24" operator="containsText" text="P">
      <formula>NOT(ISERROR(SEARCH("P",K8)))</formula>
    </cfRule>
  </conditionalFormatting>
  <conditionalFormatting sqref="K9:AO28">
    <cfRule type="containsText" dxfId="68" priority="1" operator="containsText" text="A">
      <formula>NOT(ISERROR(SEARCH("A",K9)))</formula>
    </cfRule>
    <cfRule type="containsText" dxfId="67" priority="2" operator="containsText" text="P">
      <formula>NOT(ISERROR(SEARCH("P",K9)))</formula>
    </cfRule>
  </conditionalFormatting>
  <conditionalFormatting sqref="O10:O28 V10:V28 AC10:AC28 AJ10:AJ28 K8:AO8">
    <cfRule type="containsText" dxfId="66" priority="22" operator="containsText" text="L">
      <formula>NOT(ISERROR(SEARCH("L",K8)))</formula>
    </cfRule>
  </conditionalFormatting>
  <conditionalFormatting sqref="AO9:AP9">
    <cfRule type="containsText" dxfId="65" priority="21" operator="containsText" text="WO">
      <formula>NOT(ISERROR(SEARCH("WO",AO9)))</formula>
    </cfRule>
  </conditionalFormatting>
  <dataValidations count="1">
    <dataValidation type="list" allowBlank="1" showInputMessage="1" showErrorMessage="1" sqref="K9:AO28" xr:uid="{00AE8C5F-B601-4563-8414-151CFF1748D4}">
      <formula1>"P,A,L,WO"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E436B4-C902-4BA3-B346-44CF28715DC7}">
          <x14:formula1>
            <xm:f>Sheet3!$A$1:$A$12</xm:f>
          </x14:formula1>
          <xm:sqref>H4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4D45-7FF6-479D-B1C0-2ABF7D7BEB06}">
  <sheetPr>
    <tabColor theme="0"/>
  </sheetPr>
  <dimension ref="D1:BG44"/>
  <sheetViews>
    <sheetView topLeftCell="AH4" zoomScale="112" zoomScaleNormal="112" workbookViewId="0">
      <selection activeCell="AW10" sqref="AW10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45778</v>
      </c>
      <c r="I4" s="19">
        <f>(DATEDIF($H$4,$L$4,"D")+1)</f>
        <v>31</v>
      </c>
      <c r="J4" s="17" t="str">
        <f>TEXT(H4,"mmm")</f>
        <v>May</v>
      </c>
      <c r="K4" s="17" t="s">
        <v>27</v>
      </c>
      <c r="L4" s="18">
        <f>EOMONTH(H4,0)</f>
        <v>45808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Thu</v>
      </c>
      <c r="L7" s="5" t="str">
        <f t="shared" ref="L7:AO7" si="0">TEXT(L8,"ddd")</f>
        <v>Fri</v>
      </c>
      <c r="M7" s="5" t="str">
        <f t="shared" si="0"/>
        <v>Sat</v>
      </c>
      <c r="N7" s="5" t="str">
        <f t="shared" si="0"/>
        <v>Sun</v>
      </c>
      <c r="O7" s="5" t="str">
        <f t="shared" si="0"/>
        <v>Mon</v>
      </c>
      <c r="P7" s="5" t="str">
        <f t="shared" si="0"/>
        <v>Tue</v>
      </c>
      <c r="Q7" s="5" t="str">
        <f t="shared" si="0"/>
        <v>Wed</v>
      </c>
      <c r="R7" s="5" t="str">
        <f t="shared" si="0"/>
        <v>Thu</v>
      </c>
      <c r="S7" s="5" t="str">
        <f t="shared" si="0"/>
        <v>Fri</v>
      </c>
      <c r="T7" s="5" t="str">
        <f t="shared" si="0"/>
        <v>Sat</v>
      </c>
      <c r="U7" s="5" t="str">
        <f t="shared" si="0"/>
        <v>Sun</v>
      </c>
      <c r="V7" s="5" t="str">
        <f t="shared" si="0"/>
        <v>Mon</v>
      </c>
      <c r="W7" s="5" t="str">
        <f t="shared" si="0"/>
        <v>Tue</v>
      </c>
      <c r="X7" s="5" t="str">
        <f t="shared" si="0"/>
        <v>Wed</v>
      </c>
      <c r="Y7" s="5" t="str">
        <f t="shared" si="0"/>
        <v>Thu</v>
      </c>
      <c r="Z7" s="5" t="str">
        <f t="shared" si="0"/>
        <v>Fri</v>
      </c>
      <c r="AA7" s="5" t="str">
        <f t="shared" si="0"/>
        <v>Sat</v>
      </c>
      <c r="AB7" s="5" t="str">
        <f t="shared" si="0"/>
        <v>Sun</v>
      </c>
      <c r="AC7" s="5" t="str">
        <f t="shared" si="0"/>
        <v>Mon</v>
      </c>
      <c r="AD7" s="5" t="str">
        <f t="shared" si="0"/>
        <v>Tue</v>
      </c>
      <c r="AE7" s="5" t="str">
        <f t="shared" si="0"/>
        <v>Wed</v>
      </c>
      <c r="AF7" s="5" t="str">
        <f t="shared" si="0"/>
        <v>Thu</v>
      </c>
      <c r="AG7" s="5" t="str">
        <f t="shared" si="0"/>
        <v>Fri</v>
      </c>
      <c r="AH7" s="5" t="str">
        <f t="shared" si="0"/>
        <v>Sat</v>
      </c>
      <c r="AI7" s="5" t="str">
        <f t="shared" si="0"/>
        <v>Sun</v>
      </c>
      <c r="AJ7" s="5" t="str">
        <f t="shared" si="0"/>
        <v>Mon</v>
      </c>
      <c r="AK7" s="5" t="str">
        <f t="shared" si="0"/>
        <v>Tue</v>
      </c>
      <c r="AL7" s="5" t="str">
        <f t="shared" si="0"/>
        <v>Wed</v>
      </c>
      <c r="AM7" s="5" t="str">
        <f t="shared" si="0"/>
        <v>Thu</v>
      </c>
      <c r="AN7" s="5" t="str">
        <f t="shared" si="0"/>
        <v>Fri</v>
      </c>
      <c r="AO7" s="6" t="str">
        <f t="shared" si="0"/>
        <v>Sat</v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45778</v>
      </c>
      <c r="L8" s="23">
        <f t="shared" ref="L8:AO8" si="1">IF(K8&lt;$L$4,K8+1,"")</f>
        <v>45779</v>
      </c>
      <c r="M8" s="23">
        <f t="shared" si="1"/>
        <v>45780</v>
      </c>
      <c r="N8" s="23">
        <f t="shared" si="1"/>
        <v>45781</v>
      </c>
      <c r="O8" s="23">
        <f t="shared" si="1"/>
        <v>45782</v>
      </c>
      <c r="P8" s="23">
        <f t="shared" si="1"/>
        <v>45783</v>
      </c>
      <c r="Q8" s="23">
        <f t="shared" si="1"/>
        <v>45784</v>
      </c>
      <c r="R8" s="23">
        <f t="shared" si="1"/>
        <v>45785</v>
      </c>
      <c r="S8" s="23">
        <f t="shared" si="1"/>
        <v>45786</v>
      </c>
      <c r="T8" s="23">
        <f t="shared" si="1"/>
        <v>45787</v>
      </c>
      <c r="U8" s="23">
        <f t="shared" si="1"/>
        <v>45788</v>
      </c>
      <c r="V8" s="23">
        <f t="shared" si="1"/>
        <v>45789</v>
      </c>
      <c r="W8" s="23">
        <f t="shared" si="1"/>
        <v>45790</v>
      </c>
      <c r="X8" s="23">
        <f t="shared" si="1"/>
        <v>45791</v>
      </c>
      <c r="Y8" s="23">
        <f t="shared" si="1"/>
        <v>45792</v>
      </c>
      <c r="Z8" s="23">
        <f t="shared" si="1"/>
        <v>45793</v>
      </c>
      <c r="AA8" s="23">
        <f t="shared" si="1"/>
        <v>45794</v>
      </c>
      <c r="AB8" s="23">
        <f t="shared" si="1"/>
        <v>45795</v>
      </c>
      <c r="AC8" s="23">
        <f t="shared" si="1"/>
        <v>45796</v>
      </c>
      <c r="AD8" s="23">
        <f t="shared" si="1"/>
        <v>45797</v>
      </c>
      <c r="AE8" s="23">
        <f t="shared" si="1"/>
        <v>45798</v>
      </c>
      <c r="AF8" s="23">
        <f t="shared" si="1"/>
        <v>45799</v>
      </c>
      <c r="AG8" s="23">
        <f t="shared" si="1"/>
        <v>45800</v>
      </c>
      <c r="AH8" s="23">
        <f t="shared" si="1"/>
        <v>45801</v>
      </c>
      <c r="AI8" s="23">
        <f t="shared" si="1"/>
        <v>45802</v>
      </c>
      <c r="AJ8" s="23">
        <f t="shared" si="1"/>
        <v>45803</v>
      </c>
      <c r="AK8" s="23">
        <f t="shared" si="1"/>
        <v>45804</v>
      </c>
      <c r="AL8" s="23">
        <f t="shared" si="1"/>
        <v>45805</v>
      </c>
      <c r="AM8" s="23">
        <f t="shared" si="1"/>
        <v>45806</v>
      </c>
      <c r="AN8" s="23">
        <f t="shared" si="1"/>
        <v>45807</v>
      </c>
      <c r="AO8" s="24">
        <f t="shared" si="1"/>
        <v>45808</v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4</v>
      </c>
      <c r="K9" s="34" t="s">
        <v>42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42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42</v>
      </c>
      <c r="AO9" s="28" t="s">
        <v>46</v>
      </c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May</v>
      </c>
      <c r="AV9" s="11">
        <f t="shared" ref="AV9:AX28" si="3">COUNTIF($K9:$AO9,"P")</f>
        <v>22</v>
      </c>
      <c r="AW9" s="11">
        <f t="shared" ref="AW9:AW28" si="4">COUNTIF($K9:$AO9,"L")</f>
        <v>5</v>
      </c>
      <c r="AX9" s="11">
        <f t="shared" si="3"/>
        <v>22</v>
      </c>
      <c r="AY9" s="11">
        <f t="shared" ref="AY9:AY28" si="5">$J$9</f>
        <v>4</v>
      </c>
      <c r="AZ9" s="13">
        <f t="shared" ref="AZ9:AZ28" si="6">$I$4</f>
        <v>31</v>
      </c>
      <c r="BA9" s="13">
        <f>(mayrepo[[#This Row],[Days]]-mayrepo[[#This Row],[Absent]])</f>
        <v>26</v>
      </c>
      <c r="BB9" s="11">
        <f t="shared" ref="BB9:BB28" ca="1" si="7">RANDBETWEEN(10000,25000)</f>
        <v>14028</v>
      </c>
      <c r="BC9" s="13">
        <f ca="1">(mayrepo[[#This Row],[Salary]]/mayrepo[[#This Row],[Paid Days]])</f>
        <v>539.53846153846155</v>
      </c>
      <c r="BD9" s="13">
        <f ca="1">mayrepo[[#This Row],[Salary]]*mayrepo[[#This Row],[Absent]]</f>
        <v>70140</v>
      </c>
      <c r="BE9" s="13">
        <f ca="1">mayrepo[[#This Row],[Salary]]-mayrepo[[#This Row],[Deduction]]</f>
        <v>-56112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8">COUNTIF($K$7:$AO$7,"Sun")</f>
        <v>4</v>
      </c>
      <c r="K10" s="34" t="s">
        <v>45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42</v>
      </c>
      <c r="Q10" s="34" t="s">
        <v>42</v>
      </c>
      <c r="R10" s="34" t="s">
        <v>42</v>
      </c>
      <c r="S10" s="34" t="s">
        <v>45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42</v>
      </c>
      <c r="AN10" s="34" t="s">
        <v>42</v>
      </c>
      <c r="AO10" s="28" t="s">
        <v>46</v>
      </c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May</v>
      </c>
      <c r="AV10" s="11">
        <f t="shared" si="3"/>
        <v>20</v>
      </c>
      <c r="AW10" s="11">
        <f t="shared" si="4"/>
        <v>5</v>
      </c>
      <c r="AX10" s="11">
        <f t="shared" ref="AX10:AX28" si="9">COUNTIF(M$9:AQ$9,"L")</f>
        <v>5</v>
      </c>
      <c r="AY10" s="11">
        <f t="shared" si="5"/>
        <v>4</v>
      </c>
      <c r="AZ10" s="13">
        <f t="shared" si="6"/>
        <v>31</v>
      </c>
      <c r="BA10" s="13">
        <f>(mayrepo[[#This Row],[Days]]-mayrepo[[#This Row],[Absent]])</f>
        <v>26</v>
      </c>
      <c r="BB10" s="11">
        <f t="shared" ca="1" si="7"/>
        <v>23424</v>
      </c>
      <c r="BC10" s="13">
        <f ca="1">(mayrepo[[#This Row],[Salary]]/mayrepo[[#This Row],[Paid Days]])</f>
        <v>900.92307692307691</v>
      </c>
      <c r="BD10" s="13">
        <f ca="1">mayrepo[[#This Row],[Salary]]*mayrepo[[#This Row],[Absent]]</f>
        <v>117120</v>
      </c>
      <c r="BE10" s="13">
        <f ca="1">mayrepo[[#This Row],[Salary]]-mayrepo[[#This Row],[Deduction]]</f>
        <v>-93696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8"/>
        <v>4</v>
      </c>
      <c r="K11" s="34" t="s">
        <v>42</v>
      </c>
      <c r="L11" s="34" t="s">
        <v>42</v>
      </c>
      <c r="M11" s="34" t="s">
        <v>42</v>
      </c>
      <c r="N11" s="34" t="s">
        <v>46</v>
      </c>
      <c r="O11" s="34" t="s">
        <v>44</v>
      </c>
      <c r="P11" s="34" t="s">
        <v>42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42</v>
      </c>
      <c r="X11" s="34" t="s">
        <v>42</v>
      </c>
      <c r="Y11" s="34" t="s">
        <v>42</v>
      </c>
      <c r="Z11" s="34" t="s">
        <v>42</v>
      </c>
      <c r="AA11" s="34" t="s">
        <v>42</v>
      </c>
      <c r="AB11" s="34" t="s">
        <v>46</v>
      </c>
      <c r="AC11" s="34" t="s">
        <v>44</v>
      </c>
      <c r="AD11" s="34" t="s">
        <v>42</v>
      </c>
      <c r="AE11" s="34" t="s">
        <v>42</v>
      </c>
      <c r="AF11" s="34" t="s">
        <v>42</v>
      </c>
      <c r="AG11" s="34" t="s">
        <v>42</v>
      </c>
      <c r="AH11" s="34" t="s">
        <v>42</v>
      </c>
      <c r="AI11" s="34" t="s">
        <v>46</v>
      </c>
      <c r="AJ11" s="34" t="s">
        <v>44</v>
      </c>
      <c r="AK11" s="34" t="s">
        <v>42</v>
      </c>
      <c r="AL11" s="34" t="s">
        <v>45</v>
      </c>
      <c r="AM11" s="34" t="s">
        <v>42</v>
      </c>
      <c r="AN11" s="34" t="s">
        <v>42</v>
      </c>
      <c r="AO11" s="28" t="s">
        <v>46</v>
      </c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May</v>
      </c>
      <c r="AV11" s="11">
        <f t="shared" si="3"/>
        <v>21</v>
      </c>
      <c r="AW11" s="11">
        <f t="shared" si="4"/>
        <v>5</v>
      </c>
      <c r="AX11" s="11">
        <f t="shared" si="9"/>
        <v>5</v>
      </c>
      <c r="AY11" s="11">
        <f t="shared" si="5"/>
        <v>4</v>
      </c>
      <c r="AZ11" s="13">
        <f t="shared" si="6"/>
        <v>31</v>
      </c>
      <c r="BA11" s="13">
        <f>(mayrepo[[#This Row],[Days]]-mayrepo[[#This Row],[Absent]])</f>
        <v>26</v>
      </c>
      <c r="BB11" s="11">
        <f t="shared" ca="1" si="7"/>
        <v>15114</v>
      </c>
      <c r="BC11" s="13">
        <f ca="1">(mayrepo[[#This Row],[Salary]]/mayrepo[[#This Row],[Paid Days]])</f>
        <v>581.30769230769226</v>
      </c>
      <c r="BD11" s="13">
        <f ca="1">mayrepo[[#This Row],[Salary]]*mayrepo[[#This Row],[Absent]]</f>
        <v>75570</v>
      </c>
      <c r="BE11" s="13">
        <f ca="1">mayrepo[[#This Row],[Salary]]-mayrepo[[#This Row],[Deduction]]</f>
        <v>-60456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8"/>
        <v>4</v>
      </c>
      <c r="K12" s="34" t="s">
        <v>42</v>
      </c>
      <c r="L12" s="34" t="s">
        <v>42</v>
      </c>
      <c r="M12" s="34" t="s">
        <v>42</v>
      </c>
      <c r="N12" s="34" t="s">
        <v>46</v>
      </c>
      <c r="O12" s="34" t="s">
        <v>44</v>
      </c>
      <c r="P12" s="34" t="s">
        <v>42</v>
      </c>
      <c r="Q12" s="34" t="s">
        <v>42</v>
      </c>
      <c r="R12" s="34" t="s">
        <v>42</v>
      </c>
      <c r="S12" s="34" t="s">
        <v>42</v>
      </c>
      <c r="T12" s="34" t="s">
        <v>42</v>
      </c>
      <c r="U12" s="34" t="s">
        <v>46</v>
      </c>
      <c r="V12" s="34" t="s">
        <v>44</v>
      </c>
      <c r="W12" s="34" t="s">
        <v>42</v>
      </c>
      <c r="X12" s="34" t="s">
        <v>42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45</v>
      </c>
      <c r="AE12" s="34" t="s">
        <v>42</v>
      </c>
      <c r="AF12" s="34" t="s">
        <v>42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42</v>
      </c>
      <c r="AL12" s="34" t="s">
        <v>42</v>
      </c>
      <c r="AM12" s="34" t="s">
        <v>42</v>
      </c>
      <c r="AN12" s="34" t="s">
        <v>45</v>
      </c>
      <c r="AO12" s="28" t="s">
        <v>46</v>
      </c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May</v>
      </c>
      <c r="AV12" s="11">
        <f t="shared" si="3"/>
        <v>20</v>
      </c>
      <c r="AW12" s="11">
        <f t="shared" si="4"/>
        <v>5</v>
      </c>
      <c r="AX12" s="11">
        <f t="shared" si="9"/>
        <v>5</v>
      </c>
      <c r="AY12" s="11">
        <f t="shared" si="5"/>
        <v>4</v>
      </c>
      <c r="AZ12" s="13">
        <f t="shared" si="6"/>
        <v>31</v>
      </c>
      <c r="BA12" s="13">
        <f>(mayrepo[[#This Row],[Days]]-mayrepo[[#This Row],[Absent]])</f>
        <v>26</v>
      </c>
      <c r="BB12" s="11">
        <f t="shared" ca="1" si="7"/>
        <v>20952</v>
      </c>
      <c r="BC12" s="13">
        <f ca="1">(mayrepo[[#This Row],[Salary]]/mayrepo[[#This Row],[Paid Days]])</f>
        <v>805.84615384615381</v>
      </c>
      <c r="BD12" s="13">
        <f ca="1">mayrepo[[#This Row],[Salary]]*mayrepo[[#This Row],[Absent]]</f>
        <v>104760</v>
      </c>
      <c r="BE12" s="13">
        <f ca="1">mayrepo[[#This Row],[Salary]]-mayrepo[[#This Row],[Deduction]]</f>
        <v>-83808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8"/>
        <v>4</v>
      </c>
      <c r="K13" s="34" t="s">
        <v>42</v>
      </c>
      <c r="L13" s="34" t="s">
        <v>42</v>
      </c>
      <c r="M13" s="34" t="s">
        <v>42</v>
      </c>
      <c r="N13" s="34" t="s">
        <v>46</v>
      </c>
      <c r="O13" s="34" t="s">
        <v>44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42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42</v>
      </c>
      <c r="AN13" s="34" t="s">
        <v>42</v>
      </c>
      <c r="AO13" s="28" t="s">
        <v>46</v>
      </c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May</v>
      </c>
      <c r="AV13" s="11">
        <f t="shared" si="3"/>
        <v>22</v>
      </c>
      <c r="AW13" s="11">
        <f t="shared" si="4"/>
        <v>5</v>
      </c>
      <c r="AX13" s="11">
        <f t="shared" si="9"/>
        <v>5</v>
      </c>
      <c r="AY13" s="11">
        <f t="shared" si="5"/>
        <v>4</v>
      </c>
      <c r="AZ13" s="13">
        <f t="shared" si="6"/>
        <v>31</v>
      </c>
      <c r="BA13" s="13">
        <f>(mayrepo[[#This Row],[Days]]-mayrepo[[#This Row],[Absent]])</f>
        <v>26</v>
      </c>
      <c r="BB13" s="11">
        <f t="shared" ca="1" si="7"/>
        <v>23274</v>
      </c>
      <c r="BC13" s="13">
        <f ca="1">(mayrepo[[#This Row],[Salary]]/mayrepo[[#This Row],[Paid Days]])</f>
        <v>895.15384615384619</v>
      </c>
      <c r="BD13" s="13">
        <f ca="1">mayrepo[[#This Row],[Salary]]*mayrepo[[#This Row],[Absent]]</f>
        <v>116370</v>
      </c>
      <c r="BE13" s="13">
        <f ca="1">mayrepo[[#This Row],[Salary]]-mayrepo[[#This Row],[Deduction]]</f>
        <v>-93096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8"/>
        <v>4</v>
      </c>
      <c r="K14" s="34" t="s">
        <v>45</v>
      </c>
      <c r="L14" s="34" t="s">
        <v>42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45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45</v>
      </c>
      <c r="AL14" s="34" t="s">
        <v>42</v>
      </c>
      <c r="AM14" s="34" t="s">
        <v>42</v>
      </c>
      <c r="AN14" s="34" t="s">
        <v>42</v>
      </c>
      <c r="AO14" s="28" t="s">
        <v>46</v>
      </c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May</v>
      </c>
      <c r="AV14" s="11">
        <f t="shared" si="3"/>
        <v>19</v>
      </c>
      <c r="AW14" s="11">
        <f t="shared" si="4"/>
        <v>5</v>
      </c>
      <c r="AX14" s="11">
        <f t="shared" si="9"/>
        <v>5</v>
      </c>
      <c r="AY14" s="11">
        <f t="shared" si="5"/>
        <v>4</v>
      </c>
      <c r="AZ14" s="13">
        <f t="shared" si="6"/>
        <v>31</v>
      </c>
      <c r="BA14" s="13">
        <f>(mayrepo[[#This Row],[Days]]-mayrepo[[#This Row],[Absent]])</f>
        <v>26</v>
      </c>
      <c r="BB14" s="11">
        <f t="shared" ca="1" si="7"/>
        <v>24076</v>
      </c>
      <c r="BC14" s="13">
        <f ca="1">(mayrepo[[#This Row],[Salary]]/mayrepo[[#This Row],[Paid Days]])</f>
        <v>926</v>
      </c>
      <c r="BD14" s="13">
        <f ca="1">mayrepo[[#This Row],[Salary]]*mayrepo[[#This Row],[Absent]]</f>
        <v>120380</v>
      </c>
      <c r="BE14" s="13">
        <f ca="1">mayrepo[[#This Row],[Salary]]-mayrepo[[#This Row],[Deduction]]</f>
        <v>-96304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8"/>
        <v>4</v>
      </c>
      <c r="K15" s="34" t="s">
        <v>42</v>
      </c>
      <c r="L15" s="34" t="s">
        <v>42</v>
      </c>
      <c r="M15" s="34" t="s">
        <v>42</v>
      </c>
      <c r="N15" s="34" t="s">
        <v>46</v>
      </c>
      <c r="O15" s="34" t="s">
        <v>44</v>
      </c>
      <c r="P15" s="34" t="s">
        <v>45</v>
      </c>
      <c r="Q15" s="34" t="s">
        <v>42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42</v>
      </c>
      <c r="Y15" s="34" t="s">
        <v>42</v>
      </c>
      <c r="Z15" s="34" t="s">
        <v>45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42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42</v>
      </c>
      <c r="AL15" s="34" t="s">
        <v>42</v>
      </c>
      <c r="AM15" s="34" t="s">
        <v>42</v>
      </c>
      <c r="AN15" s="34" t="s">
        <v>42</v>
      </c>
      <c r="AO15" s="28" t="s">
        <v>46</v>
      </c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May</v>
      </c>
      <c r="AV15" s="11">
        <f t="shared" si="3"/>
        <v>20</v>
      </c>
      <c r="AW15" s="11">
        <f t="shared" si="4"/>
        <v>5</v>
      </c>
      <c r="AX15" s="11">
        <f t="shared" si="9"/>
        <v>5</v>
      </c>
      <c r="AY15" s="11">
        <f t="shared" si="5"/>
        <v>4</v>
      </c>
      <c r="AZ15" s="13">
        <f t="shared" si="6"/>
        <v>31</v>
      </c>
      <c r="BA15" s="13">
        <f>(mayrepo[[#This Row],[Days]]-mayrepo[[#This Row],[Absent]])</f>
        <v>26</v>
      </c>
      <c r="BB15" s="11">
        <f t="shared" ca="1" si="7"/>
        <v>12974</v>
      </c>
      <c r="BC15" s="13">
        <f ca="1">(mayrepo[[#This Row],[Salary]]/mayrepo[[#This Row],[Paid Days]])</f>
        <v>499</v>
      </c>
      <c r="BD15" s="13">
        <f ca="1">mayrepo[[#This Row],[Salary]]*mayrepo[[#This Row],[Absent]]</f>
        <v>64870</v>
      </c>
      <c r="BE15" s="13">
        <f ca="1">mayrepo[[#This Row],[Salary]]-mayrepo[[#This Row],[Deduction]]</f>
        <v>-51896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8"/>
        <v>4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42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45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42</v>
      </c>
      <c r="AO16" s="28" t="s">
        <v>46</v>
      </c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May</v>
      </c>
      <c r="AV16" s="11">
        <f t="shared" si="3"/>
        <v>21</v>
      </c>
      <c r="AW16" s="11">
        <f t="shared" si="4"/>
        <v>5</v>
      </c>
      <c r="AX16" s="11">
        <f t="shared" si="9"/>
        <v>5</v>
      </c>
      <c r="AY16" s="11">
        <f t="shared" si="5"/>
        <v>4</v>
      </c>
      <c r="AZ16" s="13">
        <f t="shared" si="6"/>
        <v>31</v>
      </c>
      <c r="BA16" s="13">
        <f>(mayrepo[[#This Row],[Days]]-mayrepo[[#This Row],[Absent]])</f>
        <v>26</v>
      </c>
      <c r="BB16" s="11">
        <f t="shared" ca="1" si="7"/>
        <v>17108</v>
      </c>
      <c r="BC16" s="13">
        <f ca="1">(mayrepo[[#This Row],[Salary]]/mayrepo[[#This Row],[Paid Days]])</f>
        <v>658</v>
      </c>
      <c r="BD16" s="13">
        <f ca="1">mayrepo[[#This Row],[Salary]]*mayrepo[[#This Row],[Absent]]</f>
        <v>85540</v>
      </c>
      <c r="BE16" s="13">
        <f ca="1">mayrepo[[#This Row],[Salary]]-mayrepo[[#This Row],[Deduction]]</f>
        <v>-68432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8"/>
        <v>4</v>
      </c>
      <c r="K17" s="34" t="s">
        <v>42</v>
      </c>
      <c r="L17" s="34" t="s">
        <v>45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42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42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42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42</v>
      </c>
      <c r="AO17" s="28" t="s">
        <v>46</v>
      </c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May</v>
      </c>
      <c r="AV17" s="11">
        <f t="shared" si="3"/>
        <v>21</v>
      </c>
      <c r="AW17" s="11">
        <f t="shared" si="4"/>
        <v>5</v>
      </c>
      <c r="AX17" s="11">
        <f t="shared" si="9"/>
        <v>5</v>
      </c>
      <c r="AY17" s="11">
        <f t="shared" si="5"/>
        <v>4</v>
      </c>
      <c r="AZ17" s="13">
        <f t="shared" si="6"/>
        <v>31</v>
      </c>
      <c r="BA17" s="13">
        <f>(mayrepo[[#This Row],[Days]]-mayrepo[[#This Row],[Absent]])</f>
        <v>26</v>
      </c>
      <c r="BB17" s="11">
        <f t="shared" ca="1" si="7"/>
        <v>19558</v>
      </c>
      <c r="BC17" s="13">
        <f ca="1">(mayrepo[[#This Row],[Salary]]/mayrepo[[#This Row],[Paid Days]])</f>
        <v>752.23076923076928</v>
      </c>
      <c r="BD17" s="13">
        <f ca="1">mayrepo[[#This Row],[Salary]]*mayrepo[[#This Row],[Absent]]</f>
        <v>97790</v>
      </c>
      <c r="BE17" s="13">
        <f ca="1">mayrepo[[#This Row],[Salary]]-mayrepo[[#This Row],[Deduction]]</f>
        <v>-78232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8"/>
        <v>4</v>
      </c>
      <c r="K18" s="34" t="s">
        <v>42</v>
      </c>
      <c r="L18" s="34" t="s">
        <v>42</v>
      </c>
      <c r="M18" s="34" t="s">
        <v>42</v>
      </c>
      <c r="N18" s="34" t="s">
        <v>46</v>
      </c>
      <c r="O18" s="34" t="s">
        <v>44</v>
      </c>
      <c r="P18" s="34" t="s">
        <v>42</v>
      </c>
      <c r="Q18" s="34" t="s">
        <v>42</v>
      </c>
      <c r="R18" s="34" t="s">
        <v>42</v>
      </c>
      <c r="S18" s="34" t="s">
        <v>45</v>
      </c>
      <c r="T18" s="34" t="s">
        <v>42</v>
      </c>
      <c r="U18" s="34" t="s">
        <v>46</v>
      </c>
      <c r="V18" s="34" t="s">
        <v>44</v>
      </c>
      <c r="W18" s="34" t="s">
        <v>45</v>
      </c>
      <c r="X18" s="34" t="s">
        <v>42</v>
      </c>
      <c r="Y18" s="34" t="s">
        <v>42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42</v>
      </c>
      <c r="AF18" s="34" t="s">
        <v>42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42</v>
      </c>
      <c r="AO18" s="28" t="s">
        <v>46</v>
      </c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May</v>
      </c>
      <c r="AV18" s="11">
        <f t="shared" si="3"/>
        <v>20</v>
      </c>
      <c r="AW18" s="11">
        <f t="shared" si="4"/>
        <v>5</v>
      </c>
      <c r="AX18" s="11">
        <f t="shared" si="9"/>
        <v>5</v>
      </c>
      <c r="AY18" s="11">
        <f t="shared" si="5"/>
        <v>4</v>
      </c>
      <c r="AZ18" s="13">
        <f t="shared" si="6"/>
        <v>31</v>
      </c>
      <c r="BA18" s="13">
        <f>(mayrepo[[#This Row],[Days]]-mayrepo[[#This Row],[Absent]])</f>
        <v>26</v>
      </c>
      <c r="BB18" s="11">
        <f t="shared" ca="1" si="7"/>
        <v>17835</v>
      </c>
      <c r="BC18" s="13">
        <f ca="1">(mayrepo[[#This Row],[Salary]]/mayrepo[[#This Row],[Paid Days]])</f>
        <v>685.96153846153845</v>
      </c>
      <c r="BD18" s="13">
        <f ca="1">mayrepo[[#This Row],[Salary]]*mayrepo[[#This Row],[Absent]]</f>
        <v>89175</v>
      </c>
      <c r="BE18" s="13">
        <f ca="1">mayrepo[[#This Row],[Salary]]-mayrepo[[#This Row],[Deduction]]</f>
        <v>-71340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8"/>
        <v>4</v>
      </c>
      <c r="K19" s="34" t="s">
        <v>42</v>
      </c>
      <c r="L19" s="34" t="s">
        <v>42</v>
      </c>
      <c r="M19" s="34" t="s">
        <v>42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42</v>
      </c>
      <c r="T19" s="34" t="s">
        <v>42</v>
      </c>
      <c r="U19" s="34" t="s">
        <v>46</v>
      </c>
      <c r="V19" s="34" t="s">
        <v>44</v>
      </c>
      <c r="W19" s="34" t="s">
        <v>42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45</v>
      </c>
      <c r="AN19" s="34" t="s">
        <v>42</v>
      </c>
      <c r="AO19" s="28" t="s">
        <v>46</v>
      </c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May</v>
      </c>
      <c r="AV19" s="11">
        <f t="shared" si="3"/>
        <v>21</v>
      </c>
      <c r="AW19" s="11">
        <f t="shared" si="4"/>
        <v>5</v>
      </c>
      <c r="AX19" s="11">
        <f t="shared" si="9"/>
        <v>5</v>
      </c>
      <c r="AY19" s="11">
        <f t="shared" si="5"/>
        <v>4</v>
      </c>
      <c r="AZ19" s="13">
        <f t="shared" si="6"/>
        <v>31</v>
      </c>
      <c r="BA19" s="13">
        <f>(mayrepo[[#This Row],[Days]]-mayrepo[[#This Row],[Absent]])</f>
        <v>26</v>
      </c>
      <c r="BB19" s="11">
        <f t="shared" ca="1" si="7"/>
        <v>15427</v>
      </c>
      <c r="BC19" s="13">
        <f ca="1">(mayrepo[[#This Row],[Salary]]/mayrepo[[#This Row],[Paid Days]])</f>
        <v>593.34615384615381</v>
      </c>
      <c r="BD19" s="13">
        <f ca="1">mayrepo[[#This Row],[Salary]]*mayrepo[[#This Row],[Absent]]</f>
        <v>77135</v>
      </c>
      <c r="BE19" s="13">
        <f ca="1">mayrepo[[#This Row],[Salary]]-mayrepo[[#This Row],[Deduction]]</f>
        <v>-61708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8"/>
        <v>4</v>
      </c>
      <c r="K20" s="34" t="s">
        <v>42</v>
      </c>
      <c r="L20" s="34" t="s">
        <v>42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42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42</v>
      </c>
      <c r="X20" s="34" t="s">
        <v>42</v>
      </c>
      <c r="Y20" s="34" t="s">
        <v>42</v>
      </c>
      <c r="Z20" s="34" t="s">
        <v>42</v>
      </c>
      <c r="AA20" s="34" t="s">
        <v>42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42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42</v>
      </c>
      <c r="AN20" s="34" t="s">
        <v>42</v>
      </c>
      <c r="AO20" s="28" t="s">
        <v>46</v>
      </c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May</v>
      </c>
      <c r="AV20" s="11">
        <f t="shared" si="3"/>
        <v>22</v>
      </c>
      <c r="AW20" s="11">
        <f t="shared" si="4"/>
        <v>5</v>
      </c>
      <c r="AX20" s="11">
        <f t="shared" si="9"/>
        <v>5</v>
      </c>
      <c r="AY20" s="11">
        <f t="shared" si="5"/>
        <v>4</v>
      </c>
      <c r="AZ20" s="13">
        <f t="shared" si="6"/>
        <v>31</v>
      </c>
      <c r="BA20" s="13">
        <f>(mayrepo[[#This Row],[Days]]-mayrepo[[#This Row],[Absent]])</f>
        <v>26</v>
      </c>
      <c r="BB20" s="11">
        <f t="shared" ca="1" si="7"/>
        <v>16126</v>
      </c>
      <c r="BC20" s="13">
        <f ca="1">(mayrepo[[#This Row],[Salary]]/mayrepo[[#This Row],[Paid Days]])</f>
        <v>620.23076923076928</v>
      </c>
      <c r="BD20" s="13">
        <f ca="1">mayrepo[[#This Row],[Salary]]*mayrepo[[#This Row],[Absent]]</f>
        <v>80630</v>
      </c>
      <c r="BE20" s="13">
        <f ca="1">mayrepo[[#This Row],[Salary]]-mayrepo[[#This Row],[Deduction]]</f>
        <v>-64504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8"/>
        <v>4</v>
      </c>
      <c r="K21" s="34" t="s">
        <v>42</v>
      </c>
      <c r="L21" s="34" t="s">
        <v>42</v>
      </c>
      <c r="M21" s="34" t="s">
        <v>42</v>
      </c>
      <c r="N21" s="34" t="s">
        <v>46</v>
      </c>
      <c r="O21" s="34" t="s">
        <v>44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42</v>
      </c>
      <c r="U21" s="34" t="s">
        <v>46</v>
      </c>
      <c r="V21" s="34" t="s">
        <v>44</v>
      </c>
      <c r="W21" s="34" t="s">
        <v>42</v>
      </c>
      <c r="X21" s="34" t="s">
        <v>45</v>
      </c>
      <c r="Y21" s="34" t="s">
        <v>42</v>
      </c>
      <c r="Z21" s="34" t="s">
        <v>42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42</v>
      </c>
      <c r="AO21" s="28" t="s">
        <v>46</v>
      </c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May</v>
      </c>
      <c r="AV21" s="11">
        <f t="shared" si="3"/>
        <v>21</v>
      </c>
      <c r="AW21" s="11">
        <f t="shared" si="4"/>
        <v>5</v>
      </c>
      <c r="AX21" s="11">
        <f t="shared" si="9"/>
        <v>5</v>
      </c>
      <c r="AY21" s="11">
        <f t="shared" si="5"/>
        <v>4</v>
      </c>
      <c r="AZ21" s="13">
        <f t="shared" si="6"/>
        <v>31</v>
      </c>
      <c r="BA21" s="13">
        <f>(mayrepo[[#This Row],[Days]]-mayrepo[[#This Row],[Absent]])</f>
        <v>26</v>
      </c>
      <c r="BB21" s="11">
        <f t="shared" ca="1" si="7"/>
        <v>21425</v>
      </c>
      <c r="BC21" s="13">
        <f ca="1">(mayrepo[[#This Row],[Salary]]/mayrepo[[#This Row],[Paid Days]])</f>
        <v>824.03846153846155</v>
      </c>
      <c r="BD21" s="13">
        <f ca="1">mayrepo[[#This Row],[Salary]]*mayrepo[[#This Row],[Absent]]</f>
        <v>107125</v>
      </c>
      <c r="BE21" s="13">
        <f ca="1">mayrepo[[#This Row],[Salary]]-mayrepo[[#This Row],[Deduction]]</f>
        <v>-85700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8"/>
        <v>4</v>
      </c>
      <c r="K22" s="34" t="s">
        <v>42</v>
      </c>
      <c r="L22" s="34" t="s">
        <v>42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42</v>
      </c>
      <c r="AL22" s="34" t="s">
        <v>42</v>
      </c>
      <c r="AM22" s="34" t="s">
        <v>42</v>
      </c>
      <c r="AN22" s="34" t="s">
        <v>42</v>
      </c>
      <c r="AO22" s="28" t="s">
        <v>46</v>
      </c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May</v>
      </c>
      <c r="AV22" s="11">
        <f t="shared" si="3"/>
        <v>22</v>
      </c>
      <c r="AW22" s="11">
        <f t="shared" si="4"/>
        <v>5</v>
      </c>
      <c r="AX22" s="11">
        <f t="shared" si="9"/>
        <v>5</v>
      </c>
      <c r="AY22" s="11">
        <f t="shared" si="5"/>
        <v>4</v>
      </c>
      <c r="AZ22" s="13">
        <f t="shared" si="6"/>
        <v>31</v>
      </c>
      <c r="BA22" s="13">
        <f>(mayrepo[[#This Row],[Days]]-mayrepo[[#This Row],[Absent]])</f>
        <v>26</v>
      </c>
      <c r="BB22" s="11">
        <f t="shared" ca="1" si="7"/>
        <v>12541</v>
      </c>
      <c r="BC22" s="13">
        <f ca="1">(mayrepo[[#This Row],[Salary]]/mayrepo[[#This Row],[Paid Days]])</f>
        <v>482.34615384615387</v>
      </c>
      <c r="BD22" s="13">
        <f ca="1">mayrepo[[#This Row],[Salary]]*mayrepo[[#This Row],[Absent]]</f>
        <v>62705</v>
      </c>
      <c r="BE22" s="13">
        <f ca="1">mayrepo[[#This Row],[Salary]]-mayrepo[[#This Row],[Deduction]]</f>
        <v>-50164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8"/>
        <v>4</v>
      </c>
      <c r="K23" s="34" t="s">
        <v>42</v>
      </c>
      <c r="L23" s="34" t="s">
        <v>42</v>
      </c>
      <c r="M23" s="34" t="s">
        <v>42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42</v>
      </c>
      <c r="AF23" s="34" t="s">
        <v>42</v>
      </c>
      <c r="AG23" s="34" t="s">
        <v>42</v>
      </c>
      <c r="AH23" s="34" t="s">
        <v>45</v>
      </c>
      <c r="AI23" s="34" t="s">
        <v>46</v>
      </c>
      <c r="AJ23" s="34" t="s">
        <v>44</v>
      </c>
      <c r="AK23" s="34" t="s">
        <v>42</v>
      </c>
      <c r="AL23" s="34" t="s">
        <v>42</v>
      </c>
      <c r="AM23" s="34" t="s">
        <v>42</v>
      </c>
      <c r="AN23" s="34" t="s">
        <v>42</v>
      </c>
      <c r="AO23" s="28" t="s">
        <v>46</v>
      </c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May</v>
      </c>
      <c r="AV23" s="11">
        <f t="shared" si="3"/>
        <v>21</v>
      </c>
      <c r="AW23" s="11">
        <f t="shared" si="4"/>
        <v>5</v>
      </c>
      <c r="AX23" s="11">
        <f t="shared" si="9"/>
        <v>5</v>
      </c>
      <c r="AY23" s="11">
        <f t="shared" si="5"/>
        <v>4</v>
      </c>
      <c r="AZ23" s="13">
        <f t="shared" si="6"/>
        <v>31</v>
      </c>
      <c r="BA23" s="13">
        <f>(mayrepo[[#This Row],[Days]]-mayrepo[[#This Row],[Absent]])</f>
        <v>26</v>
      </c>
      <c r="BB23" s="11">
        <f t="shared" ca="1" si="7"/>
        <v>14645</v>
      </c>
      <c r="BC23" s="13">
        <f ca="1">(mayrepo[[#This Row],[Salary]]/mayrepo[[#This Row],[Paid Days]])</f>
        <v>563.26923076923072</v>
      </c>
      <c r="BD23" s="13">
        <f ca="1">mayrepo[[#This Row],[Salary]]*mayrepo[[#This Row],[Absent]]</f>
        <v>73225</v>
      </c>
      <c r="BE23" s="13">
        <f ca="1">mayrepo[[#This Row],[Salary]]-mayrepo[[#This Row],[Deduction]]</f>
        <v>-58580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8"/>
        <v>4</v>
      </c>
      <c r="K24" s="34" t="s">
        <v>42</v>
      </c>
      <c r="L24" s="34" t="s">
        <v>42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42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42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42</v>
      </c>
      <c r="AN24" s="34" t="s">
        <v>42</v>
      </c>
      <c r="AO24" s="28" t="s">
        <v>46</v>
      </c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May</v>
      </c>
      <c r="AV24" s="11">
        <f t="shared" si="3"/>
        <v>22</v>
      </c>
      <c r="AW24" s="11">
        <f t="shared" si="4"/>
        <v>5</v>
      </c>
      <c r="AX24" s="11">
        <f t="shared" si="9"/>
        <v>5</v>
      </c>
      <c r="AY24" s="11">
        <f t="shared" si="5"/>
        <v>4</v>
      </c>
      <c r="AZ24" s="13">
        <f t="shared" si="6"/>
        <v>31</v>
      </c>
      <c r="BA24" s="13">
        <f>(mayrepo[[#This Row],[Days]]-mayrepo[[#This Row],[Absent]])</f>
        <v>26</v>
      </c>
      <c r="BB24" s="11">
        <f t="shared" ca="1" si="7"/>
        <v>11343</v>
      </c>
      <c r="BC24" s="13">
        <f ca="1">(mayrepo[[#This Row],[Salary]]/mayrepo[[#This Row],[Paid Days]])</f>
        <v>436.26923076923077</v>
      </c>
      <c r="BD24" s="13">
        <f ca="1">mayrepo[[#This Row],[Salary]]*mayrepo[[#This Row],[Absent]]</f>
        <v>56715</v>
      </c>
      <c r="BE24" s="13">
        <f ca="1">mayrepo[[#This Row],[Salary]]-mayrepo[[#This Row],[Deduction]]</f>
        <v>-45372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8"/>
        <v>4</v>
      </c>
      <c r="K25" s="34" t="s">
        <v>42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42</v>
      </c>
      <c r="Q25" s="34" t="s">
        <v>42</v>
      </c>
      <c r="R25" s="34" t="s">
        <v>42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45</v>
      </c>
      <c r="X25" s="34" t="s">
        <v>42</v>
      </c>
      <c r="Y25" s="34" t="s">
        <v>42</v>
      </c>
      <c r="Z25" s="34" t="s">
        <v>45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42</v>
      </c>
      <c r="AG25" s="34" t="s">
        <v>42</v>
      </c>
      <c r="AH25" s="34" t="s">
        <v>42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42</v>
      </c>
      <c r="AO25" s="28" t="s">
        <v>46</v>
      </c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May</v>
      </c>
      <c r="AV25" s="11">
        <f t="shared" si="3"/>
        <v>20</v>
      </c>
      <c r="AW25" s="11">
        <f t="shared" si="4"/>
        <v>5</v>
      </c>
      <c r="AX25" s="11">
        <f t="shared" si="9"/>
        <v>5</v>
      </c>
      <c r="AY25" s="11">
        <f t="shared" si="5"/>
        <v>4</v>
      </c>
      <c r="AZ25" s="13">
        <f t="shared" si="6"/>
        <v>31</v>
      </c>
      <c r="BA25" s="13">
        <f>(mayrepo[[#This Row],[Days]]-mayrepo[[#This Row],[Absent]])</f>
        <v>26</v>
      </c>
      <c r="BB25" s="11">
        <f t="shared" ca="1" si="7"/>
        <v>19059</v>
      </c>
      <c r="BC25" s="13">
        <f ca="1">(mayrepo[[#This Row],[Salary]]/mayrepo[[#This Row],[Paid Days]])</f>
        <v>733.03846153846155</v>
      </c>
      <c r="BD25" s="13">
        <f ca="1">mayrepo[[#This Row],[Salary]]*mayrepo[[#This Row],[Absent]]</f>
        <v>95295</v>
      </c>
      <c r="BE25" s="13">
        <f ca="1">mayrepo[[#This Row],[Salary]]-mayrepo[[#This Row],[Deduction]]</f>
        <v>-76236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8"/>
        <v>4</v>
      </c>
      <c r="K26" s="34" t="s">
        <v>42</v>
      </c>
      <c r="L26" s="34" t="s">
        <v>42</v>
      </c>
      <c r="M26" s="34" t="s">
        <v>42</v>
      </c>
      <c r="N26" s="34" t="s">
        <v>46</v>
      </c>
      <c r="O26" s="34" t="s">
        <v>44</v>
      </c>
      <c r="P26" s="34" t="s">
        <v>42</v>
      </c>
      <c r="Q26" s="34" t="s">
        <v>42</v>
      </c>
      <c r="R26" s="34" t="s">
        <v>42</v>
      </c>
      <c r="S26" s="34" t="s">
        <v>45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42</v>
      </c>
      <c r="Y26" s="34" t="s">
        <v>42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42</v>
      </c>
      <c r="AM26" s="34" t="s">
        <v>42</v>
      </c>
      <c r="AN26" s="34" t="s">
        <v>42</v>
      </c>
      <c r="AO26" s="28" t="s">
        <v>46</v>
      </c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May</v>
      </c>
      <c r="AV26" s="11">
        <f t="shared" si="3"/>
        <v>21</v>
      </c>
      <c r="AW26" s="11">
        <f t="shared" si="4"/>
        <v>5</v>
      </c>
      <c r="AX26" s="11">
        <f t="shared" si="9"/>
        <v>5</v>
      </c>
      <c r="AY26" s="11">
        <f t="shared" si="5"/>
        <v>4</v>
      </c>
      <c r="AZ26" s="13">
        <f t="shared" si="6"/>
        <v>31</v>
      </c>
      <c r="BA26" s="13">
        <f>(mayrepo[[#This Row],[Days]]-mayrepo[[#This Row],[Absent]])</f>
        <v>26</v>
      </c>
      <c r="BB26" s="11">
        <f t="shared" ca="1" si="7"/>
        <v>12728</v>
      </c>
      <c r="BC26" s="13">
        <f ca="1">(mayrepo[[#This Row],[Salary]]/mayrepo[[#This Row],[Paid Days]])</f>
        <v>489.53846153846155</v>
      </c>
      <c r="BD26" s="13">
        <f ca="1">mayrepo[[#This Row],[Salary]]*mayrepo[[#This Row],[Absent]]</f>
        <v>63640</v>
      </c>
      <c r="BE26" s="13">
        <f ca="1">mayrepo[[#This Row],[Salary]]-mayrepo[[#This Row],[Deduction]]</f>
        <v>-50912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8"/>
        <v>4</v>
      </c>
      <c r="K27" s="34" t="s">
        <v>42</v>
      </c>
      <c r="L27" s="34" t="s">
        <v>45</v>
      </c>
      <c r="M27" s="34" t="s">
        <v>42</v>
      </c>
      <c r="N27" s="34" t="s">
        <v>46</v>
      </c>
      <c r="O27" s="34" t="s">
        <v>44</v>
      </c>
      <c r="P27" s="34" t="s">
        <v>42</v>
      </c>
      <c r="Q27" s="34" t="s">
        <v>42</v>
      </c>
      <c r="R27" s="34" t="s">
        <v>42</v>
      </c>
      <c r="S27" s="34" t="s">
        <v>42</v>
      </c>
      <c r="T27" s="34" t="s">
        <v>42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42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42</v>
      </c>
      <c r="AN27" s="34" t="s">
        <v>42</v>
      </c>
      <c r="AO27" s="28" t="s">
        <v>46</v>
      </c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May</v>
      </c>
      <c r="AV27" s="11">
        <f t="shared" si="3"/>
        <v>21</v>
      </c>
      <c r="AW27" s="11">
        <f t="shared" si="4"/>
        <v>5</v>
      </c>
      <c r="AX27" s="11">
        <f t="shared" si="9"/>
        <v>5</v>
      </c>
      <c r="AY27" s="11">
        <f t="shared" si="5"/>
        <v>4</v>
      </c>
      <c r="AZ27" s="13">
        <f t="shared" si="6"/>
        <v>31</v>
      </c>
      <c r="BA27" s="13">
        <f>(mayrepo[[#This Row],[Days]]-mayrepo[[#This Row],[Absent]])</f>
        <v>26</v>
      </c>
      <c r="BB27" s="11">
        <f t="shared" ca="1" si="7"/>
        <v>23319</v>
      </c>
      <c r="BC27" s="13">
        <f ca="1">(mayrepo[[#This Row],[Salary]]/mayrepo[[#This Row],[Paid Days]])</f>
        <v>896.88461538461536</v>
      </c>
      <c r="BD27" s="13">
        <f ca="1">mayrepo[[#This Row],[Salary]]*mayrepo[[#This Row],[Absent]]</f>
        <v>116595</v>
      </c>
      <c r="BE27" s="13">
        <f ca="1">mayrepo[[#This Row],[Salary]]-mayrepo[[#This Row],[Deduction]]</f>
        <v>-93276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8"/>
        <v>4</v>
      </c>
      <c r="K28" s="34" t="s">
        <v>45</v>
      </c>
      <c r="L28" s="31" t="s">
        <v>42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1" t="s">
        <v>42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4" t="s">
        <v>45</v>
      </c>
      <c r="AL28" s="31" t="s">
        <v>42</v>
      </c>
      <c r="AM28" s="31" t="s">
        <v>42</v>
      </c>
      <c r="AN28" s="34" t="s">
        <v>45</v>
      </c>
      <c r="AO28" s="32" t="s">
        <v>46</v>
      </c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May</v>
      </c>
      <c r="AV28" s="11">
        <f t="shared" si="3"/>
        <v>19</v>
      </c>
      <c r="AW28" s="11">
        <f t="shared" si="4"/>
        <v>5</v>
      </c>
      <c r="AX28" s="11">
        <f t="shared" si="9"/>
        <v>5</v>
      </c>
      <c r="AY28" s="11">
        <f t="shared" si="5"/>
        <v>4</v>
      </c>
      <c r="AZ28" s="13">
        <f t="shared" si="6"/>
        <v>31</v>
      </c>
      <c r="BA28" s="13">
        <f>(mayrepo[[#This Row],[Days]]-mayrepo[[#This Row],[Absent]])</f>
        <v>26</v>
      </c>
      <c r="BB28" s="11">
        <f t="shared" ca="1" si="7"/>
        <v>21570</v>
      </c>
      <c r="BC28" s="13">
        <f ca="1">(mayrepo[[#This Row],[Salary]]/mayrepo[[#This Row],[Paid Days]])</f>
        <v>829.61538461538464</v>
      </c>
      <c r="BD28" s="13">
        <f ca="1">mayrepo[[#This Row],[Salary]]*mayrepo[[#This Row],[Absent]]</f>
        <v>107850</v>
      </c>
      <c r="BE28" s="13">
        <f ca="1">mayrepo[[#This Row],[Salary]]-mayrepo[[#This Row],[Deduction]]</f>
        <v>-86280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mergeCells count="1">
    <mergeCell ref="G7:I7"/>
  </mergeCells>
  <conditionalFormatting sqref="K7:AO8 O10:O28 V10:V28 AC10:AC28 AJ10:AJ28">
    <cfRule type="containsText" dxfId="64" priority="25" operator="containsText" text="WO">
      <formula>NOT(ISERROR(SEARCH("WO",K7)))</formula>
    </cfRule>
  </conditionalFormatting>
  <conditionalFormatting sqref="K8:AO8 O10:O28 V10:V28 AC10:AC28 AJ10:AJ28">
    <cfRule type="containsText" dxfId="63" priority="23" operator="containsText" text="A">
      <formula>NOT(ISERROR(SEARCH("A",K8)))</formula>
    </cfRule>
    <cfRule type="containsText" dxfId="62" priority="24" operator="containsText" text="P">
      <formula>NOT(ISERROR(SEARCH("P",K8)))</formula>
    </cfRule>
  </conditionalFormatting>
  <conditionalFormatting sqref="K9:AO28">
    <cfRule type="containsText" dxfId="61" priority="1" operator="containsText" text="A">
      <formula>NOT(ISERROR(SEARCH("A",K9)))</formula>
    </cfRule>
    <cfRule type="containsText" dxfId="60" priority="2" operator="containsText" text="P">
      <formula>NOT(ISERROR(SEARCH("P",K9)))</formula>
    </cfRule>
    <cfRule type="containsText" dxfId="59" priority="3" operator="containsText" text="WO">
      <formula>NOT(ISERROR(SEARCH("WO",K9)))</formula>
    </cfRule>
  </conditionalFormatting>
  <conditionalFormatting sqref="O10:O28 V10:V28 AC10:AC28 AJ10:AJ28 K8:AO8">
    <cfRule type="containsText" dxfId="58" priority="22" operator="containsText" text="L">
      <formula>NOT(ISERROR(SEARCH("L",K8)))</formula>
    </cfRule>
  </conditionalFormatting>
  <conditionalFormatting sqref="AP9">
    <cfRule type="containsText" dxfId="57" priority="21" operator="containsText" text="WO">
      <formula>NOT(ISERROR(SEARCH("WO",AP9)))</formula>
    </cfRule>
  </conditionalFormatting>
  <dataValidations count="1">
    <dataValidation type="list" allowBlank="1" showInputMessage="1" showErrorMessage="1" sqref="K9:AO28" xr:uid="{32663549-05DA-4A83-A688-EB6697851DBA}">
      <formula1>"P,A,L,WO"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28237C-6972-42CE-AD1E-535B14C59EA4}">
          <x14:formula1>
            <xm:f>Sheet3!$A$1:$A$12</xm:f>
          </x14:formula1>
          <xm:sqref>H4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F52A-30FC-4B8D-AC2B-56273AB5FCD5}">
  <dimension ref="D1:BG44"/>
  <sheetViews>
    <sheetView topLeftCell="AI1" zoomScaleNormal="100" workbookViewId="0">
      <selection activeCell="AX10" sqref="AX10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45809</v>
      </c>
      <c r="I4" s="19">
        <f>(DATEDIF($H$4,$L$4,"D")+1)</f>
        <v>30</v>
      </c>
      <c r="J4" s="17" t="str">
        <f>TEXT(H4,"mmm")</f>
        <v>Jun</v>
      </c>
      <c r="K4" s="17" t="s">
        <v>27</v>
      </c>
      <c r="L4" s="18">
        <f>EOMONTH(H4,0)</f>
        <v>45838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Sun</v>
      </c>
      <c r="L7" s="5" t="str">
        <f t="shared" ref="L7:AO7" si="0">TEXT(L8,"ddd")</f>
        <v>Mon</v>
      </c>
      <c r="M7" s="5" t="str">
        <f t="shared" si="0"/>
        <v>Tue</v>
      </c>
      <c r="N7" s="5" t="str">
        <f t="shared" si="0"/>
        <v>Wed</v>
      </c>
      <c r="O7" s="5" t="str">
        <f t="shared" si="0"/>
        <v>Thu</v>
      </c>
      <c r="P7" s="5" t="str">
        <f t="shared" si="0"/>
        <v>Fri</v>
      </c>
      <c r="Q7" s="5" t="str">
        <f t="shared" si="0"/>
        <v>Sat</v>
      </c>
      <c r="R7" s="5" t="str">
        <f t="shared" si="0"/>
        <v>Sun</v>
      </c>
      <c r="S7" s="5" t="str">
        <f t="shared" si="0"/>
        <v>Mon</v>
      </c>
      <c r="T7" s="5" t="str">
        <f t="shared" si="0"/>
        <v>Tue</v>
      </c>
      <c r="U7" s="5" t="str">
        <f t="shared" si="0"/>
        <v>Wed</v>
      </c>
      <c r="V7" s="5" t="str">
        <f t="shared" si="0"/>
        <v>Thu</v>
      </c>
      <c r="W7" s="5" t="str">
        <f t="shared" si="0"/>
        <v>Fri</v>
      </c>
      <c r="X7" s="5" t="str">
        <f t="shared" si="0"/>
        <v>Sat</v>
      </c>
      <c r="Y7" s="5" t="str">
        <f t="shared" si="0"/>
        <v>Sun</v>
      </c>
      <c r="Z7" s="5" t="str">
        <f t="shared" si="0"/>
        <v>Mon</v>
      </c>
      <c r="AA7" s="5" t="str">
        <f t="shared" si="0"/>
        <v>Tue</v>
      </c>
      <c r="AB7" s="5" t="str">
        <f t="shared" si="0"/>
        <v>Wed</v>
      </c>
      <c r="AC7" s="5" t="str">
        <f t="shared" si="0"/>
        <v>Thu</v>
      </c>
      <c r="AD7" s="5" t="str">
        <f t="shared" si="0"/>
        <v>Fri</v>
      </c>
      <c r="AE7" s="5" t="str">
        <f t="shared" si="0"/>
        <v>Sat</v>
      </c>
      <c r="AF7" s="5" t="str">
        <f t="shared" si="0"/>
        <v>Sun</v>
      </c>
      <c r="AG7" s="5" t="str">
        <f t="shared" si="0"/>
        <v>Mon</v>
      </c>
      <c r="AH7" s="5" t="str">
        <f t="shared" si="0"/>
        <v>Tue</v>
      </c>
      <c r="AI7" s="5" t="str">
        <f t="shared" si="0"/>
        <v>Wed</v>
      </c>
      <c r="AJ7" s="5" t="str">
        <f t="shared" si="0"/>
        <v>Thu</v>
      </c>
      <c r="AK7" s="5" t="str">
        <f t="shared" si="0"/>
        <v>Fri</v>
      </c>
      <c r="AL7" s="5" t="str">
        <f t="shared" si="0"/>
        <v>Sat</v>
      </c>
      <c r="AM7" s="5" t="str">
        <f t="shared" si="0"/>
        <v>Sun</v>
      </c>
      <c r="AN7" s="5" t="str">
        <f t="shared" si="0"/>
        <v>Mon</v>
      </c>
      <c r="AO7" s="6" t="str">
        <f t="shared" si="0"/>
        <v/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45809</v>
      </c>
      <c r="L8" s="23">
        <f t="shared" ref="L8:AO8" si="1">IF(K8&lt;$L$4,K8+1,"")</f>
        <v>45810</v>
      </c>
      <c r="M8" s="23">
        <f t="shared" si="1"/>
        <v>45811</v>
      </c>
      <c r="N8" s="23">
        <f t="shared" si="1"/>
        <v>45812</v>
      </c>
      <c r="O8" s="23">
        <f t="shared" si="1"/>
        <v>45813</v>
      </c>
      <c r="P8" s="23">
        <f t="shared" si="1"/>
        <v>45814</v>
      </c>
      <c r="Q8" s="23">
        <f t="shared" si="1"/>
        <v>45815</v>
      </c>
      <c r="R8" s="23">
        <f t="shared" si="1"/>
        <v>45816</v>
      </c>
      <c r="S8" s="23">
        <f t="shared" si="1"/>
        <v>45817</v>
      </c>
      <c r="T8" s="23">
        <f t="shared" si="1"/>
        <v>45818</v>
      </c>
      <c r="U8" s="23">
        <f t="shared" si="1"/>
        <v>45819</v>
      </c>
      <c r="V8" s="23">
        <f t="shared" si="1"/>
        <v>45820</v>
      </c>
      <c r="W8" s="23">
        <f t="shared" si="1"/>
        <v>45821</v>
      </c>
      <c r="X8" s="23">
        <f t="shared" si="1"/>
        <v>45822</v>
      </c>
      <c r="Y8" s="23">
        <f t="shared" si="1"/>
        <v>45823</v>
      </c>
      <c r="Z8" s="23">
        <f t="shared" si="1"/>
        <v>45824</v>
      </c>
      <c r="AA8" s="23">
        <f t="shared" si="1"/>
        <v>45825</v>
      </c>
      <c r="AB8" s="23">
        <f t="shared" si="1"/>
        <v>45826</v>
      </c>
      <c r="AC8" s="23">
        <f t="shared" si="1"/>
        <v>45827</v>
      </c>
      <c r="AD8" s="23">
        <f t="shared" si="1"/>
        <v>45828</v>
      </c>
      <c r="AE8" s="23">
        <f t="shared" si="1"/>
        <v>45829</v>
      </c>
      <c r="AF8" s="23">
        <f t="shared" si="1"/>
        <v>45830</v>
      </c>
      <c r="AG8" s="23">
        <f t="shared" si="1"/>
        <v>45831</v>
      </c>
      <c r="AH8" s="23">
        <f t="shared" si="1"/>
        <v>45832</v>
      </c>
      <c r="AI8" s="23">
        <f t="shared" si="1"/>
        <v>45833</v>
      </c>
      <c r="AJ8" s="23">
        <f t="shared" si="1"/>
        <v>45834</v>
      </c>
      <c r="AK8" s="23">
        <f t="shared" si="1"/>
        <v>45835</v>
      </c>
      <c r="AL8" s="23">
        <f t="shared" si="1"/>
        <v>45836</v>
      </c>
      <c r="AM8" s="23">
        <f t="shared" si="1"/>
        <v>45837</v>
      </c>
      <c r="AN8" s="23">
        <f t="shared" si="1"/>
        <v>45838</v>
      </c>
      <c r="AO8" s="24" t="str">
        <f t="shared" si="1"/>
        <v/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5</v>
      </c>
      <c r="K9" s="34" t="s">
        <v>45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45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45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46</v>
      </c>
      <c r="AO9" s="28"/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Jun</v>
      </c>
      <c r="AV9" s="11">
        <f t="shared" ref="AV9:AV28" si="3">COUNTIF($K9:$AO9,"P")</f>
        <v>18</v>
      </c>
      <c r="AW9" s="11">
        <f t="shared" ref="AW9:AW28" si="4">COUNTIF($K9:$AO9,"A")</f>
        <v>3</v>
      </c>
      <c r="AX9" s="11">
        <f t="shared" ref="AX9:AX28" si="5">COUNTIF($K9:$AO9,"L")</f>
        <v>5</v>
      </c>
      <c r="AY9" s="11">
        <f t="shared" ref="AY9:AY28" si="6">$J$9</f>
        <v>5</v>
      </c>
      <c r="AZ9" s="13">
        <f t="shared" ref="AZ9:AZ28" si="7">$I$4</f>
        <v>30</v>
      </c>
      <c r="BA9" s="13">
        <f>(junrepo[[#This Row],[Days]]-junrepo[[#This Row],[Absent]])</f>
        <v>27</v>
      </c>
      <c r="BB9" s="11">
        <f t="shared" ref="BB9:BB28" ca="1" si="8">RANDBETWEEN(10000,25000)</f>
        <v>14761</v>
      </c>
      <c r="BC9" s="13">
        <f ca="1">(junrepo[[#This Row],[Salary]]/junrepo[[#This Row],[Paid Days]])</f>
        <v>546.7037037037037</v>
      </c>
      <c r="BD9" s="13">
        <f ca="1">junrepo[[#This Row],[Salary]]*junrepo[[#This Row],[Absent]]</f>
        <v>44283</v>
      </c>
      <c r="BE9" s="13">
        <f ca="1">junrepo[[#This Row],[Salary]]-junrepo[[#This Row],[Deduction]]</f>
        <v>-29522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9">COUNTIF($K$7:$AO$7,"Sun")</f>
        <v>5</v>
      </c>
      <c r="K10" s="34" t="s">
        <v>42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42</v>
      </c>
      <c r="Q10" s="34" t="s">
        <v>42</v>
      </c>
      <c r="R10" s="34" t="s">
        <v>42</v>
      </c>
      <c r="S10" s="34" t="s">
        <v>42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42</v>
      </c>
      <c r="AN10" s="34" t="s">
        <v>46</v>
      </c>
      <c r="AO10" s="34"/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Jun</v>
      </c>
      <c r="AV10" s="11">
        <f t="shared" si="3"/>
        <v>21</v>
      </c>
      <c r="AW10" s="11">
        <f t="shared" si="4"/>
        <v>0</v>
      </c>
      <c r="AX10" s="11">
        <f t="shared" si="5"/>
        <v>5</v>
      </c>
      <c r="AY10" s="11">
        <f t="shared" si="6"/>
        <v>5</v>
      </c>
      <c r="AZ10" s="13">
        <f t="shared" si="7"/>
        <v>30</v>
      </c>
      <c r="BA10" s="13">
        <f>(junrepo[[#This Row],[Days]]-junrepo[[#This Row],[Absent]])</f>
        <v>30</v>
      </c>
      <c r="BB10" s="11">
        <f t="shared" ca="1" si="8"/>
        <v>20798</v>
      </c>
      <c r="BC10" s="13">
        <f ca="1">(junrepo[[#This Row],[Salary]]/junrepo[[#This Row],[Paid Days]])</f>
        <v>693.26666666666665</v>
      </c>
      <c r="BD10" s="13">
        <f ca="1">junrepo[[#This Row],[Salary]]*junrepo[[#This Row],[Absent]]</f>
        <v>0</v>
      </c>
      <c r="BE10" s="13">
        <f ca="1">junrepo[[#This Row],[Salary]]-junrepo[[#This Row],[Deduction]]</f>
        <v>20798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9"/>
        <v>5</v>
      </c>
      <c r="K11" s="34" t="s">
        <v>42</v>
      </c>
      <c r="L11" s="34" t="s">
        <v>42</v>
      </c>
      <c r="M11" s="34" t="s">
        <v>42</v>
      </c>
      <c r="N11" s="34" t="s">
        <v>46</v>
      </c>
      <c r="O11" s="34" t="s">
        <v>44</v>
      </c>
      <c r="P11" s="34" t="s">
        <v>42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42</v>
      </c>
      <c r="X11" s="34" t="s">
        <v>42</v>
      </c>
      <c r="Y11" s="34" t="s">
        <v>42</v>
      </c>
      <c r="Z11" s="34" t="s">
        <v>42</v>
      </c>
      <c r="AA11" s="34" t="s">
        <v>42</v>
      </c>
      <c r="AB11" s="34" t="s">
        <v>46</v>
      </c>
      <c r="AC11" s="34" t="s">
        <v>44</v>
      </c>
      <c r="AD11" s="34" t="s">
        <v>42</v>
      </c>
      <c r="AE11" s="34" t="s">
        <v>42</v>
      </c>
      <c r="AF11" s="34" t="s">
        <v>42</v>
      </c>
      <c r="AG11" s="34" t="s">
        <v>42</v>
      </c>
      <c r="AH11" s="34" t="s">
        <v>42</v>
      </c>
      <c r="AI11" s="34" t="s">
        <v>46</v>
      </c>
      <c r="AJ11" s="34" t="s">
        <v>44</v>
      </c>
      <c r="AK11" s="34" t="s">
        <v>45</v>
      </c>
      <c r="AL11" s="34" t="s">
        <v>42</v>
      </c>
      <c r="AM11" s="34" t="s">
        <v>42</v>
      </c>
      <c r="AN11" s="34" t="s">
        <v>46</v>
      </c>
      <c r="AO11" s="28"/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Jun</v>
      </c>
      <c r="AV11" s="11">
        <f t="shared" si="3"/>
        <v>20</v>
      </c>
      <c r="AW11" s="11">
        <f t="shared" si="4"/>
        <v>1</v>
      </c>
      <c r="AX11" s="11">
        <f t="shared" si="5"/>
        <v>5</v>
      </c>
      <c r="AY11" s="11">
        <f t="shared" si="6"/>
        <v>5</v>
      </c>
      <c r="AZ11" s="13">
        <f t="shared" si="7"/>
        <v>30</v>
      </c>
      <c r="BA11" s="13">
        <f>(junrepo[[#This Row],[Days]]-junrepo[[#This Row],[Absent]])</f>
        <v>29</v>
      </c>
      <c r="BB11" s="11">
        <f t="shared" ca="1" si="8"/>
        <v>17062</v>
      </c>
      <c r="BC11" s="13">
        <f ca="1">(junrepo[[#This Row],[Salary]]/junrepo[[#This Row],[Paid Days]])</f>
        <v>588.34482758620686</v>
      </c>
      <c r="BD11" s="13">
        <f ca="1">junrepo[[#This Row],[Salary]]*junrepo[[#This Row],[Absent]]</f>
        <v>17062</v>
      </c>
      <c r="BE11" s="13">
        <f ca="1">junrepo[[#This Row],[Salary]]-junrepo[[#This Row],[Deduction]]</f>
        <v>0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9"/>
        <v>5</v>
      </c>
      <c r="K12" s="34" t="s">
        <v>42</v>
      </c>
      <c r="L12" s="34" t="s">
        <v>45</v>
      </c>
      <c r="M12" s="34" t="s">
        <v>42</v>
      </c>
      <c r="N12" s="34" t="s">
        <v>46</v>
      </c>
      <c r="O12" s="34" t="s">
        <v>44</v>
      </c>
      <c r="P12" s="34" t="s">
        <v>42</v>
      </c>
      <c r="Q12" s="34" t="s">
        <v>42</v>
      </c>
      <c r="R12" s="34" t="s">
        <v>42</v>
      </c>
      <c r="S12" s="34" t="s">
        <v>42</v>
      </c>
      <c r="T12" s="34" t="s">
        <v>42</v>
      </c>
      <c r="U12" s="34" t="s">
        <v>46</v>
      </c>
      <c r="V12" s="34" t="s">
        <v>44</v>
      </c>
      <c r="W12" s="34" t="s">
        <v>42</v>
      </c>
      <c r="X12" s="34" t="s">
        <v>42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42</v>
      </c>
      <c r="AE12" s="34" t="s">
        <v>42</v>
      </c>
      <c r="AF12" s="34" t="s">
        <v>42</v>
      </c>
      <c r="AG12" s="34" t="s">
        <v>45</v>
      </c>
      <c r="AH12" s="34" t="s">
        <v>42</v>
      </c>
      <c r="AI12" s="34" t="s">
        <v>46</v>
      </c>
      <c r="AJ12" s="34" t="s">
        <v>44</v>
      </c>
      <c r="AK12" s="34" t="s">
        <v>42</v>
      </c>
      <c r="AL12" s="34" t="s">
        <v>42</v>
      </c>
      <c r="AM12" s="34" t="s">
        <v>42</v>
      </c>
      <c r="AN12" s="34" t="s">
        <v>46</v>
      </c>
      <c r="AO12" s="28"/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Jun</v>
      </c>
      <c r="AV12" s="11">
        <f t="shared" si="3"/>
        <v>19</v>
      </c>
      <c r="AW12" s="11">
        <f t="shared" si="4"/>
        <v>2</v>
      </c>
      <c r="AX12" s="11">
        <f t="shared" si="5"/>
        <v>5</v>
      </c>
      <c r="AY12" s="11">
        <f t="shared" si="6"/>
        <v>5</v>
      </c>
      <c r="AZ12" s="13">
        <f t="shared" si="7"/>
        <v>30</v>
      </c>
      <c r="BA12" s="13">
        <f>(junrepo[[#This Row],[Days]]-junrepo[[#This Row],[Absent]])</f>
        <v>28</v>
      </c>
      <c r="BB12" s="11">
        <f t="shared" ca="1" si="8"/>
        <v>20231</v>
      </c>
      <c r="BC12" s="13">
        <f ca="1">(junrepo[[#This Row],[Salary]]/junrepo[[#This Row],[Paid Days]])</f>
        <v>722.53571428571433</v>
      </c>
      <c r="BD12" s="13">
        <f ca="1">junrepo[[#This Row],[Salary]]*junrepo[[#This Row],[Absent]]</f>
        <v>40462</v>
      </c>
      <c r="BE12" s="13">
        <f ca="1">junrepo[[#This Row],[Salary]]-junrepo[[#This Row],[Deduction]]</f>
        <v>-20231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9"/>
        <v>5</v>
      </c>
      <c r="K13" s="34" t="s">
        <v>42</v>
      </c>
      <c r="L13" s="34" t="s">
        <v>42</v>
      </c>
      <c r="M13" s="34" t="s">
        <v>42</v>
      </c>
      <c r="N13" s="34" t="s">
        <v>46</v>
      </c>
      <c r="O13" s="34" t="s">
        <v>44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42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42</v>
      </c>
      <c r="AN13" s="34" t="s">
        <v>46</v>
      </c>
      <c r="AO13" s="28"/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Jun</v>
      </c>
      <c r="AV13" s="11">
        <f t="shared" si="3"/>
        <v>21</v>
      </c>
      <c r="AW13" s="11">
        <f t="shared" si="4"/>
        <v>0</v>
      </c>
      <c r="AX13" s="11">
        <f t="shared" si="5"/>
        <v>5</v>
      </c>
      <c r="AY13" s="11">
        <f t="shared" si="6"/>
        <v>5</v>
      </c>
      <c r="AZ13" s="13">
        <f t="shared" si="7"/>
        <v>30</v>
      </c>
      <c r="BA13" s="13">
        <f>(junrepo[[#This Row],[Days]]-junrepo[[#This Row],[Absent]])</f>
        <v>30</v>
      </c>
      <c r="BB13" s="11">
        <f t="shared" ca="1" si="8"/>
        <v>18340</v>
      </c>
      <c r="BC13" s="13">
        <f ca="1">(junrepo[[#This Row],[Salary]]/junrepo[[#This Row],[Paid Days]])</f>
        <v>611.33333333333337</v>
      </c>
      <c r="BD13" s="13">
        <f ca="1">junrepo[[#This Row],[Salary]]*junrepo[[#This Row],[Absent]]</f>
        <v>0</v>
      </c>
      <c r="BE13" s="13">
        <f ca="1">junrepo[[#This Row],[Salary]]-junrepo[[#This Row],[Deduction]]</f>
        <v>18340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9"/>
        <v>5</v>
      </c>
      <c r="K14" s="34" t="s">
        <v>42</v>
      </c>
      <c r="L14" s="34" t="s">
        <v>42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42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42</v>
      </c>
      <c r="AL14" s="34" t="s">
        <v>42</v>
      </c>
      <c r="AM14" s="34" t="s">
        <v>42</v>
      </c>
      <c r="AN14" s="34" t="s">
        <v>46</v>
      </c>
      <c r="AO14" s="28"/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Jun</v>
      </c>
      <c r="AV14" s="11">
        <f t="shared" si="3"/>
        <v>21</v>
      </c>
      <c r="AW14" s="11">
        <f t="shared" si="4"/>
        <v>0</v>
      </c>
      <c r="AX14" s="11">
        <f t="shared" si="5"/>
        <v>5</v>
      </c>
      <c r="AY14" s="11">
        <f t="shared" si="6"/>
        <v>5</v>
      </c>
      <c r="AZ14" s="13">
        <f t="shared" si="7"/>
        <v>30</v>
      </c>
      <c r="BA14" s="13">
        <f>(junrepo[[#This Row],[Days]]-junrepo[[#This Row],[Absent]])</f>
        <v>30</v>
      </c>
      <c r="BB14" s="11">
        <f t="shared" ca="1" si="8"/>
        <v>23081</v>
      </c>
      <c r="BC14" s="13">
        <f ca="1">(junrepo[[#This Row],[Salary]]/junrepo[[#This Row],[Paid Days]])</f>
        <v>769.36666666666667</v>
      </c>
      <c r="BD14" s="13">
        <f ca="1">junrepo[[#This Row],[Salary]]*junrepo[[#This Row],[Absent]]</f>
        <v>0</v>
      </c>
      <c r="BE14" s="13">
        <f ca="1">junrepo[[#This Row],[Salary]]-junrepo[[#This Row],[Deduction]]</f>
        <v>23081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9"/>
        <v>5</v>
      </c>
      <c r="K15" s="34" t="s">
        <v>42</v>
      </c>
      <c r="L15" s="34" t="s">
        <v>42</v>
      </c>
      <c r="M15" s="34" t="s">
        <v>42</v>
      </c>
      <c r="N15" s="34" t="s">
        <v>46</v>
      </c>
      <c r="O15" s="34" t="s">
        <v>44</v>
      </c>
      <c r="P15" s="34" t="s">
        <v>42</v>
      </c>
      <c r="Q15" s="34" t="s">
        <v>42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45</v>
      </c>
      <c r="Y15" s="34" t="s">
        <v>42</v>
      </c>
      <c r="Z15" s="34" t="s">
        <v>42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45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42</v>
      </c>
      <c r="AL15" s="34" t="s">
        <v>45</v>
      </c>
      <c r="AM15" s="34" t="s">
        <v>42</v>
      </c>
      <c r="AN15" s="34" t="s">
        <v>46</v>
      </c>
      <c r="AO15" s="28"/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Jun</v>
      </c>
      <c r="AV15" s="11">
        <f t="shared" si="3"/>
        <v>18</v>
      </c>
      <c r="AW15" s="11">
        <f t="shared" si="4"/>
        <v>3</v>
      </c>
      <c r="AX15" s="11">
        <f t="shared" si="5"/>
        <v>5</v>
      </c>
      <c r="AY15" s="11">
        <f t="shared" si="6"/>
        <v>5</v>
      </c>
      <c r="AZ15" s="13">
        <f t="shared" si="7"/>
        <v>30</v>
      </c>
      <c r="BA15" s="13">
        <f>(junrepo[[#This Row],[Days]]-junrepo[[#This Row],[Absent]])</f>
        <v>27</v>
      </c>
      <c r="BB15" s="11">
        <f t="shared" ca="1" si="8"/>
        <v>20592</v>
      </c>
      <c r="BC15" s="13">
        <f ca="1">(junrepo[[#This Row],[Salary]]/junrepo[[#This Row],[Paid Days]])</f>
        <v>762.66666666666663</v>
      </c>
      <c r="BD15" s="13">
        <f ca="1">junrepo[[#This Row],[Salary]]*junrepo[[#This Row],[Absent]]</f>
        <v>61776</v>
      </c>
      <c r="BE15" s="13">
        <f ca="1">junrepo[[#This Row],[Salary]]-junrepo[[#This Row],[Deduction]]</f>
        <v>-41184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9"/>
        <v>5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42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42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46</v>
      </c>
      <c r="AO16" s="28"/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Jun</v>
      </c>
      <c r="AV16" s="11">
        <f t="shared" si="3"/>
        <v>21</v>
      </c>
      <c r="AW16" s="11">
        <f t="shared" si="4"/>
        <v>0</v>
      </c>
      <c r="AX16" s="11">
        <f t="shared" si="5"/>
        <v>5</v>
      </c>
      <c r="AY16" s="11">
        <f t="shared" si="6"/>
        <v>5</v>
      </c>
      <c r="AZ16" s="13">
        <f t="shared" si="7"/>
        <v>30</v>
      </c>
      <c r="BA16" s="13">
        <f>(junrepo[[#This Row],[Days]]-junrepo[[#This Row],[Absent]])</f>
        <v>30</v>
      </c>
      <c r="BB16" s="11">
        <f t="shared" ca="1" si="8"/>
        <v>13625</v>
      </c>
      <c r="BC16" s="13">
        <f ca="1">(junrepo[[#This Row],[Salary]]/junrepo[[#This Row],[Paid Days]])</f>
        <v>454.16666666666669</v>
      </c>
      <c r="BD16" s="13">
        <f ca="1">junrepo[[#This Row],[Salary]]*junrepo[[#This Row],[Absent]]</f>
        <v>0</v>
      </c>
      <c r="BE16" s="13">
        <f ca="1">junrepo[[#This Row],[Salary]]-junrepo[[#This Row],[Deduction]]</f>
        <v>13625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9"/>
        <v>5</v>
      </c>
      <c r="K17" s="34" t="s">
        <v>42</v>
      </c>
      <c r="L17" s="34" t="s">
        <v>42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45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42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42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46</v>
      </c>
      <c r="AO17" s="28"/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Jun</v>
      </c>
      <c r="AV17" s="11">
        <f t="shared" si="3"/>
        <v>20</v>
      </c>
      <c r="AW17" s="11">
        <f t="shared" si="4"/>
        <v>1</v>
      </c>
      <c r="AX17" s="11">
        <f t="shared" si="5"/>
        <v>5</v>
      </c>
      <c r="AY17" s="11">
        <f t="shared" si="6"/>
        <v>5</v>
      </c>
      <c r="AZ17" s="13">
        <f t="shared" si="7"/>
        <v>30</v>
      </c>
      <c r="BA17" s="13">
        <f>(junrepo[[#This Row],[Days]]-junrepo[[#This Row],[Absent]])</f>
        <v>29</v>
      </c>
      <c r="BB17" s="11">
        <f t="shared" ca="1" si="8"/>
        <v>11011</v>
      </c>
      <c r="BC17" s="13">
        <f ca="1">(junrepo[[#This Row],[Salary]]/junrepo[[#This Row],[Paid Days]])</f>
        <v>379.68965517241378</v>
      </c>
      <c r="BD17" s="13">
        <f ca="1">junrepo[[#This Row],[Salary]]*junrepo[[#This Row],[Absent]]</f>
        <v>11011</v>
      </c>
      <c r="BE17" s="13">
        <f ca="1">junrepo[[#This Row],[Salary]]-junrepo[[#This Row],[Deduction]]</f>
        <v>0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9"/>
        <v>5</v>
      </c>
      <c r="K18" s="34" t="s">
        <v>42</v>
      </c>
      <c r="L18" s="34" t="s">
        <v>42</v>
      </c>
      <c r="M18" s="34" t="s">
        <v>42</v>
      </c>
      <c r="N18" s="34" t="s">
        <v>46</v>
      </c>
      <c r="O18" s="34" t="s">
        <v>44</v>
      </c>
      <c r="P18" s="34" t="s">
        <v>42</v>
      </c>
      <c r="Q18" s="34" t="s">
        <v>42</v>
      </c>
      <c r="R18" s="34" t="s">
        <v>42</v>
      </c>
      <c r="S18" s="34" t="s">
        <v>42</v>
      </c>
      <c r="T18" s="34" t="s">
        <v>42</v>
      </c>
      <c r="U18" s="34" t="s">
        <v>46</v>
      </c>
      <c r="V18" s="34" t="s">
        <v>44</v>
      </c>
      <c r="W18" s="34" t="s">
        <v>42</v>
      </c>
      <c r="X18" s="34" t="s">
        <v>42</v>
      </c>
      <c r="Y18" s="34" t="s">
        <v>42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42</v>
      </c>
      <c r="AF18" s="34" t="s">
        <v>42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46</v>
      </c>
      <c r="AO18" s="28"/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Jun</v>
      </c>
      <c r="AV18" s="11">
        <f t="shared" si="3"/>
        <v>21</v>
      </c>
      <c r="AW18" s="11">
        <f t="shared" si="4"/>
        <v>0</v>
      </c>
      <c r="AX18" s="11">
        <f t="shared" si="5"/>
        <v>5</v>
      </c>
      <c r="AY18" s="11">
        <f t="shared" si="6"/>
        <v>5</v>
      </c>
      <c r="AZ18" s="13">
        <f t="shared" si="7"/>
        <v>30</v>
      </c>
      <c r="BA18" s="13">
        <f>(junrepo[[#This Row],[Days]]-junrepo[[#This Row],[Absent]])</f>
        <v>30</v>
      </c>
      <c r="BB18" s="11">
        <f t="shared" ca="1" si="8"/>
        <v>12370</v>
      </c>
      <c r="BC18" s="13">
        <f ca="1">(junrepo[[#This Row],[Salary]]/junrepo[[#This Row],[Paid Days]])</f>
        <v>412.33333333333331</v>
      </c>
      <c r="BD18" s="13">
        <f ca="1">junrepo[[#This Row],[Salary]]*junrepo[[#This Row],[Absent]]</f>
        <v>0</v>
      </c>
      <c r="BE18" s="13">
        <f ca="1">junrepo[[#This Row],[Salary]]-junrepo[[#This Row],[Deduction]]</f>
        <v>12370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9"/>
        <v>5</v>
      </c>
      <c r="K19" s="34" t="s">
        <v>42</v>
      </c>
      <c r="L19" s="34" t="s">
        <v>42</v>
      </c>
      <c r="M19" s="34" t="s">
        <v>45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45</v>
      </c>
      <c r="T19" s="34" t="s">
        <v>42</v>
      </c>
      <c r="U19" s="34" t="s">
        <v>46</v>
      </c>
      <c r="V19" s="34" t="s">
        <v>44</v>
      </c>
      <c r="W19" s="34" t="s">
        <v>42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42</v>
      </c>
      <c r="AN19" s="34" t="s">
        <v>46</v>
      </c>
      <c r="AO19" s="28"/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Jun</v>
      </c>
      <c r="AV19" s="11">
        <f t="shared" si="3"/>
        <v>19</v>
      </c>
      <c r="AW19" s="11">
        <f t="shared" si="4"/>
        <v>2</v>
      </c>
      <c r="AX19" s="11">
        <f t="shared" si="5"/>
        <v>5</v>
      </c>
      <c r="AY19" s="11">
        <f t="shared" si="6"/>
        <v>5</v>
      </c>
      <c r="AZ19" s="13">
        <f t="shared" si="7"/>
        <v>30</v>
      </c>
      <c r="BA19" s="13">
        <f>(junrepo[[#This Row],[Days]]-junrepo[[#This Row],[Absent]])</f>
        <v>28</v>
      </c>
      <c r="BB19" s="11">
        <f t="shared" ca="1" si="8"/>
        <v>13064</v>
      </c>
      <c r="BC19" s="13">
        <f ca="1">(junrepo[[#This Row],[Salary]]/junrepo[[#This Row],[Paid Days]])</f>
        <v>466.57142857142856</v>
      </c>
      <c r="BD19" s="13">
        <f ca="1">junrepo[[#This Row],[Salary]]*junrepo[[#This Row],[Absent]]</f>
        <v>26128</v>
      </c>
      <c r="BE19" s="13">
        <f ca="1">junrepo[[#This Row],[Salary]]-junrepo[[#This Row],[Deduction]]</f>
        <v>-13064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9"/>
        <v>5</v>
      </c>
      <c r="K20" s="34" t="s">
        <v>42</v>
      </c>
      <c r="L20" s="34" t="s">
        <v>42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42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42</v>
      </c>
      <c r="X20" s="34" t="s">
        <v>42</v>
      </c>
      <c r="Y20" s="34" t="s">
        <v>42</v>
      </c>
      <c r="Z20" s="34" t="s">
        <v>42</v>
      </c>
      <c r="AA20" s="34" t="s">
        <v>45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42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45</v>
      </c>
      <c r="AN20" s="34" t="s">
        <v>46</v>
      </c>
      <c r="AO20" s="28"/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Jun</v>
      </c>
      <c r="AV20" s="11">
        <f t="shared" si="3"/>
        <v>19</v>
      </c>
      <c r="AW20" s="11">
        <f t="shared" si="4"/>
        <v>2</v>
      </c>
      <c r="AX20" s="11">
        <f t="shared" si="5"/>
        <v>5</v>
      </c>
      <c r="AY20" s="11">
        <f t="shared" si="6"/>
        <v>5</v>
      </c>
      <c r="AZ20" s="13">
        <f t="shared" si="7"/>
        <v>30</v>
      </c>
      <c r="BA20" s="13">
        <f>(junrepo[[#This Row],[Days]]-junrepo[[#This Row],[Absent]])</f>
        <v>28</v>
      </c>
      <c r="BB20" s="11">
        <f t="shared" ca="1" si="8"/>
        <v>11395</v>
      </c>
      <c r="BC20" s="13">
        <f ca="1">(junrepo[[#This Row],[Salary]]/junrepo[[#This Row],[Paid Days]])</f>
        <v>406.96428571428572</v>
      </c>
      <c r="BD20" s="13">
        <f ca="1">junrepo[[#This Row],[Salary]]*junrepo[[#This Row],[Absent]]</f>
        <v>22790</v>
      </c>
      <c r="BE20" s="13">
        <f ca="1">junrepo[[#This Row],[Salary]]-junrepo[[#This Row],[Deduction]]</f>
        <v>-11395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9"/>
        <v>5</v>
      </c>
      <c r="K21" s="34" t="s">
        <v>42</v>
      </c>
      <c r="L21" s="34" t="s">
        <v>42</v>
      </c>
      <c r="M21" s="34" t="s">
        <v>42</v>
      </c>
      <c r="N21" s="34" t="s">
        <v>46</v>
      </c>
      <c r="O21" s="34" t="s">
        <v>44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42</v>
      </c>
      <c r="U21" s="34" t="s">
        <v>46</v>
      </c>
      <c r="V21" s="34" t="s">
        <v>44</v>
      </c>
      <c r="W21" s="34" t="s">
        <v>45</v>
      </c>
      <c r="X21" s="34" t="s">
        <v>42</v>
      </c>
      <c r="Y21" s="34" t="s">
        <v>42</v>
      </c>
      <c r="Z21" s="34" t="s">
        <v>42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46</v>
      </c>
      <c r="AO21" s="28"/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Jun</v>
      </c>
      <c r="AV21" s="11">
        <f t="shared" si="3"/>
        <v>20</v>
      </c>
      <c r="AW21" s="11">
        <f t="shared" si="4"/>
        <v>1</v>
      </c>
      <c r="AX21" s="11">
        <f t="shared" si="5"/>
        <v>5</v>
      </c>
      <c r="AY21" s="11">
        <f t="shared" si="6"/>
        <v>5</v>
      </c>
      <c r="AZ21" s="13">
        <f t="shared" si="7"/>
        <v>30</v>
      </c>
      <c r="BA21" s="13">
        <f>(junrepo[[#This Row],[Days]]-junrepo[[#This Row],[Absent]])</f>
        <v>29</v>
      </c>
      <c r="BB21" s="11">
        <f t="shared" ca="1" si="8"/>
        <v>18906</v>
      </c>
      <c r="BC21" s="13">
        <f ca="1">(junrepo[[#This Row],[Salary]]/junrepo[[#This Row],[Paid Days]])</f>
        <v>651.93103448275861</v>
      </c>
      <c r="BD21" s="13">
        <f ca="1">junrepo[[#This Row],[Salary]]*junrepo[[#This Row],[Absent]]</f>
        <v>18906</v>
      </c>
      <c r="BE21" s="13">
        <f ca="1">junrepo[[#This Row],[Salary]]-junrepo[[#This Row],[Deduction]]</f>
        <v>0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9"/>
        <v>5</v>
      </c>
      <c r="K22" s="34" t="s">
        <v>42</v>
      </c>
      <c r="L22" s="34" t="s">
        <v>42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42</v>
      </c>
      <c r="AL22" s="34" t="s">
        <v>42</v>
      </c>
      <c r="AM22" s="34" t="s">
        <v>42</v>
      </c>
      <c r="AN22" s="34" t="s">
        <v>46</v>
      </c>
      <c r="AO22" s="28"/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Jun</v>
      </c>
      <c r="AV22" s="11">
        <f t="shared" si="3"/>
        <v>21</v>
      </c>
      <c r="AW22" s="11">
        <f t="shared" si="4"/>
        <v>0</v>
      </c>
      <c r="AX22" s="11">
        <f t="shared" si="5"/>
        <v>5</v>
      </c>
      <c r="AY22" s="11">
        <f t="shared" si="6"/>
        <v>5</v>
      </c>
      <c r="AZ22" s="13">
        <f t="shared" si="7"/>
        <v>30</v>
      </c>
      <c r="BA22" s="13">
        <f>(junrepo[[#This Row],[Days]]-junrepo[[#This Row],[Absent]])</f>
        <v>30</v>
      </c>
      <c r="BB22" s="11">
        <f t="shared" ca="1" si="8"/>
        <v>13873</v>
      </c>
      <c r="BC22" s="13">
        <f ca="1">(junrepo[[#This Row],[Salary]]/junrepo[[#This Row],[Paid Days]])</f>
        <v>462.43333333333334</v>
      </c>
      <c r="BD22" s="13">
        <f ca="1">junrepo[[#This Row],[Salary]]*junrepo[[#This Row],[Absent]]</f>
        <v>0</v>
      </c>
      <c r="BE22" s="13">
        <f ca="1">junrepo[[#This Row],[Salary]]-junrepo[[#This Row],[Deduction]]</f>
        <v>13873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9"/>
        <v>5</v>
      </c>
      <c r="K23" s="34" t="s">
        <v>42</v>
      </c>
      <c r="L23" s="34" t="s">
        <v>42</v>
      </c>
      <c r="M23" s="34" t="s">
        <v>42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42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42</v>
      </c>
      <c r="AL23" s="34" t="s">
        <v>42</v>
      </c>
      <c r="AM23" s="34" t="s">
        <v>42</v>
      </c>
      <c r="AN23" s="34" t="s">
        <v>46</v>
      </c>
      <c r="AO23" s="28"/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Jun</v>
      </c>
      <c r="AV23" s="11">
        <f t="shared" si="3"/>
        <v>21</v>
      </c>
      <c r="AW23" s="11">
        <f t="shared" si="4"/>
        <v>0</v>
      </c>
      <c r="AX23" s="11">
        <f t="shared" si="5"/>
        <v>5</v>
      </c>
      <c r="AY23" s="11">
        <f t="shared" si="6"/>
        <v>5</v>
      </c>
      <c r="AZ23" s="13">
        <f t="shared" si="7"/>
        <v>30</v>
      </c>
      <c r="BA23" s="13">
        <f>(junrepo[[#This Row],[Days]]-junrepo[[#This Row],[Absent]])</f>
        <v>30</v>
      </c>
      <c r="BB23" s="11">
        <f t="shared" ca="1" si="8"/>
        <v>14664</v>
      </c>
      <c r="BC23" s="13">
        <f ca="1">(junrepo[[#This Row],[Salary]]/junrepo[[#This Row],[Paid Days]])</f>
        <v>488.8</v>
      </c>
      <c r="BD23" s="13">
        <f ca="1">junrepo[[#This Row],[Salary]]*junrepo[[#This Row],[Absent]]</f>
        <v>0</v>
      </c>
      <c r="BE23" s="13">
        <f ca="1">junrepo[[#This Row],[Salary]]-junrepo[[#This Row],[Deduction]]</f>
        <v>14664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9"/>
        <v>5</v>
      </c>
      <c r="K24" s="34" t="s">
        <v>45</v>
      </c>
      <c r="L24" s="34" t="s">
        <v>42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42</v>
      </c>
      <c r="S24" s="34" t="s">
        <v>42</v>
      </c>
      <c r="T24" s="34" t="s">
        <v>45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42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42</v>
      </c>
      <c r="AN24" s="34" t="s">
        <v>46</v>
      </c>
      <c r="AO24" s="28"/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Jun</v>
      </c>
      <c r="AV24" s="11">
        <f t="shared" si="3"/>
        <v>19</v>
      </c>
      <c r="AW24" s="11">
        <f t="shared" si="4"/>
        <v>2</v>
      </c>
      <c r="AX24" s="11">
        <f t="shared" si="5"/>
        <v>5</v>
      </c>
      <c r="AY24" s="11">
        <f t="shared" si="6"/>
        <v>5</v>
      </c>
      <c r="AZ24" s="13">
        <f t="shared" si="7"/>
        <v>30</v>
      </c>
      <c r="BA24" s="13">
        <f>(junrepo[[#This Row],[Days]]-junrepo[[#This Row],[Absent]])</f>
        <v>28</v>
      </c>
      <c r="BB24" s="11">
        <f t="shared" ca="1" si="8"/>
        <v>14841</v>
      </c>
      <c r="BC24" s="13">
        <f ca="1">(junrepo[[#This Row],[Salary]]/junrepo[[#This Row],[Paid Days]])</f>
        <v>530.03571428571433</v>
      </c>
      <c r="BD24" s="13">
        <f ca="1">junrepo[[#This Row],[Salary]]*junrepo[[#This Row],[Absent]]</f>
        <v>29682</v>
      </c>
      <c r="BE24" s="13">
        <f ca="1">junrepo[[#This Row],[Salary]]-junrepo[[#This Row],[Deduction]]</f>
        <v>-14841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9"/>
        <v>5</v>
      </c>
      <c r="K25" s="34" t="s">
        <v>42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42</v>
      </c>
      <c r="Q25" s="34" t="s">
        <v>42</v>
      </c>
      <c r="R25" s="34" t="s">
        <v>42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42</v>
      </c>
      <c r="Z25" s="34" t="s">
        <v>42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42</v>
      </c>
      <c r="AG25" s="34" t="s">
        <v>42</v>
      </c>
      <c r="AH25" s="34" t="s">
        <v>42</v>
      </c>
      <c r="AI25" s="34" t="s">
        <v>46</v>
      </c>
      <c r="AJ25" s="34" t="s">
        <v>44</v>
      </c>
      <c r="AK25" s="34" t="s">
        <v>45</v>
      </c>
      <c r="AL25" s="34" t="s">
        <v>42</v>
      </c>
      <c r="AM25" s="34" t="s">
        <v>42</v>
      </c>
      <c r="AN25" s="34" t="s">
        <v>46</v>
      </c>
      <c r="AO25" s="28"/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Jun</v>
      </c>
      <c r="AV25" s="11">
        <f t="shared" si="3"/>
        <v>20</v>
      </c>
      <c r="AW25" s="11">
        <f t="shared" si="4"/>
        <v>1</v>
      </c>
      <c r="AX25" s="11">
        <f t="shared" si="5"/>
        <v>5</v>
      </c>
      <c r="AY25" s="11">
        <f t="shared" si="6"/>
        <v>5</v>
      </c>
      <c r="AZ25" s="13">
        <f t="shared" si="7"/>
        <v>30</v>
      </c>
      <c r="BA25" s="13">
        <f>(junrepo[[#This Row],[Days]]-junrepo[[#This Row],[Absent]])</f>
        <v>29</v>
      </c>
      <c r="BB25" s="11">
        <f t="shared" ca="1" si="8"/>
        <v>11213</v>
      </c>
      <c r="BC25" s="13">
        <f ca="1">(junrepo[[#This Row],[Salary]]/junrepo[[#This Row],[Paid Days]])</f>
        <v>386.65517241379308</v>
      </c>
      <c r="BD25" s="13">
        <f ca="1">junrepo[[#This Row],[Salary]]*junrepo[[#This Row],[Absent]]</f>
        <v>11213</v>
      </c>
      <c r="BE25" s="13">
        <f ca="1">junrepo[[#This Row],[Salary]]-junrepo[[#This Row],[Deduction]]</f>
        <v>0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9"/>
        <v>5</v>
      </c>
      <c r="K26" s="34" t="s">
        <v>42</v>
      </c>
      <c r="L26" s="34" t="s">
        <v>42</v>
      </c>
      <c r="M26" s="34" t="s">
        <v>42</v>
      </c>
      <c r="N26" s="34" t="s">
        <v>46</v>
      </c>
      <c r="O26" s="34" t="s">
        <v>44</v>
      </c>
      <c r="P26" s="34" t="s">
        <v>42</v>
      </c>
      <c r="Q26" s="34" t="s">
        <v>42</v>
      </c>
      <c r="R26" s="34" t="s">
        <v>42</v>
      </c>
      <c r="S26" s="34" t="s">
        <v>42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45</v>
      </c>
      <c r="Y26" s="34" t="s">
        <v>45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42</v>
      </c>
      <c r="AM26" s="34" t="s">
        <v>42</v>
      </c>
      <c r="AN26" s="34" t="s">
        <v>46</v>
      </c>
      <c r="AO26" s="28"/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Jun</v>
      </c>
      <c r="AV26" s="11">
        <f t="shared" si="3"/>
        <v>19</v>
      </c>
      <c r="AW26" s="11">
        <f t="shared" si="4"/>
        <v>2</v>
      </c>
      <c r="AX26" s="11">
        <f t="shared" si="5"/>
        <v>5</v>
      </c>
      <c r="AY26" s="11">
        <f t="shared" si="6"/>
        <v>5</v>
      </c>
      <c r="AZ26" s="13">
        <f t="shared" si="7"/>
        <v>30</v>
      </c>
      <c r="BA26" s="13">
        <f>(junrepo[[#This Row],[Days]]-junrepo[[#This Row],[Absent]])</f>
        <v>28</v>
      </c>
      <c r="BB26" s="11">
        <f t="shared" ca="1" si="8"/>
        <v>15646</v>
      </c>
      <c r="BC26" s="13">
        <f ca="1">(junrepo[[#This Row],[Salary]]/junrepo[[#This Row],[Paid Days]])</f>
        <v>558.78571428571433</v>
      </c>
      <c r="BD26" s="13">
        <f ca="1">junrepo[[#This Row],[Salary]]*junrepo[[#This Row],[Absent]]</f>
        <v>31292</v>
      </c>
      <c r="BE26" s="13">
        <f ca="1">junrepo[[#This Row],[Salary]]-junrepo[[#This Row],[Deduction]]</f>
        <v>-15646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9"/>
        <v>5</v>
      </c>
      <c r="K27" s="34" t="s">
        <v>42</v>
      </c>
      <c r="L27" s="34" t="s">
        <v>42</v>
      </c>
      <c r="M27" s="34" t="s">
        <v>45</v>
      </c>
      <c r="N27" s="34" t="s">
        <v>46</v>
      </c>
      <c r="O27" s="34" t="s">
        <v>44</v>
      </c>
      <c r="P27" s="34" t="s">
        <v>42</v>
      </c>
      <c r="Q27" s="34" t="s">
        <v>45</v>
      </c>
      <c r="R27" s="34" t="s">
        <v>42</v>
      </c>
      <c r="S27" s="34" t="s">
        <v>42</v>
      </c>
      <c r="T27" s="34" t="s">
        <v>42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42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45</v>
      </c>
      <c r="AN27" s="34" t="s">
        <v>46</v>
      </c>
      <c r="AO27" s="28"/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Jun</v>
      </c>
      <c r="AV27" s="11">
        <f t="shared" si="3"/>
        <v>18</v>
      </c>
      <c r="AW27" s="11">
        <f t="shared" si="4"/>
        <v>3</v>
      </c>
      <c r="AX27" s="11">
        <f t="shared" si="5"/>
        <v>5</v>
      </c>
      <c r="AY27" s="11">
        <f t="shared" si="6"/>
        <v>5</v>
      </c>
      <c r="AZ27" s="13">
        <f t="shared" si="7"/>
        <v>30</v>
      </c>
      <c r="BA27" s="13">
        <f>(junrepo[[#This Row],[Days]]-junrepo[[#This Row],[Absent]])</f>
        <v>27</v>
      </c>
      <c r="BB27" s="11">
        <f t="shared" ca="1" si="8"/>
        <v>24208</v>
      </c>
      <c r="BC27" s="13">
        <f ca="1">(junrepo[[#This Row],[Salary]]/junrepo[[#This Row],[Paid Days]])</f>
        <v>896.59259259259261</v>
      </c>
      <c r="BD27" s="13">
        <f ca="1">junrepo[[#This Row],[Salary]]*junrepo[[#This Row],[Absent]]</f>
        <v>72624</v>
      </c>
      <c r="BE27" s="13">
        <f ca="1">junrepo[[#This Row],[Salary]]-junrepo[[#This Row],[Deduction]]</f>
        <v>-48416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9"/>
        <v>5</v>
      </c>
      <c r="K28" s="31" t="s">
        <v>42</v>
      </c>
      <c r="L28" s="31" t="s">
        <v>42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4" t="s">
        <v>45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4" t="s">
        <v>45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1" t="s">
        <v>46</v>
      </c>
      <c r="AO28" s="32"/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Jun</v>
      </c>
      <c r="AV28" s="11">
        <f t="shared" si="3"/>
        <v>19</v>
      </c>
      <c r="AW28" s="11">
        <f t="shared" si="4"/>
        <v>2</v>
      </c>
      <c r="AX28" s="11">
        <f t="shared" si="5"/>
        <v>5</v>
      </c>
      <c r="AY28" s="11">
        <f t="shared" si="6"/>
        <v>5</v>
      </c>
      <c r="AZ28" s="13">
        <f t="shared" si="7"/>
        <v>30</v>
      </c>
      <c r="BA28" s="13">
        <f>(junrepo[[#This Row],[Days]]-junrepo[[#This Row],[Absent]])</f>
        <v>28</v>
      </c>
      <c r="BB28" s="11">
        <f t="shared" ca="1" si="8"/>
        <v>24377</v>
      </c>
      <c r="BC28" s="13">
        <f ca="1">(junrepo[[#This Row],[Salary]]/junrepo[[#This Row],[Paid Days]])</f>
        <v>870.60714285714289</v>
      </c>
      <c r="BD28" s="13">
        <f ca="1">junrepo[[#This Row],[Salary]]*junrepo[[#This Row],[Absent]]</f>
        <v>48754</v>
      </c>
      <c r="BE28" s="13">
        <f ca="1">junrepo[[#This Row],[Salary]]-junrepo[[#This Row],[Deduction]]</f>
        <v>-24377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mergeCells count="1">
    <mergeCell ref="G7:I7"/>
  </mergeCells>
  <conditionalFormatting sqref="K9:AN28 AO10:AO28">
    <cfRule type="containsText" dxfId="56" priority="3" operator="containsText" text="WO">
      <formula>NOT(ISERROR(SEARCH("WO",K9)))</formula>
    </cfRule>
  </conditionalFormatting>
  <conditionalFormatting sqref="K7:AO8 O10:O28 V10:V28 AC10:AC28 AJ10:AJ28">
    <cfRule type="containsText" dxfId="55" priority="34" operator="containsText" text="WO">
      <formula>NOT(ISERROR(SEARCH("WO",K7)))</formula>
    </cfRule>
  </conditionalFormatting>
  <conditionalFormatting sqref="K8:AO8 O10:O28 V10:V28 AC10:AC28 AJ10:AJ28">
    <cfRule type="containsText" dxfId="54" priority="32" operator="containsText" text="A">
      <formula>NOT(ISERROR(SEARCH("A",K8)))</formula>
    </cfRule>
    <cfRule type="containsText" dxfId="53" priority="33" operator="containsText" text="P">
      <formula>NOT(ISERROR(SEARCH("P",K8)))</formula>
    </cfRule>
  </conditionalFormatting>
  <conditionalFormatting sqref="K9:AO28">
    <cfRule type="containsText" dxfId="52" priority="1" operator="containsText" text="A">
      <formula>NOT(ISERROR(SEARCH("A",K9)))</formula>
    </cfRule>
    <cfRule type="containsText" dxfId="51" priority="2" operator="containsText" text="P">
      <formula>NOT(ISERROR(SEARCH("P",K9)))</formula>
    </cfRule>
  </conditionalFormatting>
  <conditionalFormatting sqref="O10:O28 V10:V28 AC10:AC28 AJ10:AJ28 K8:AO8">
    <cfRule type="containsText" dxfId="50" priority="31" operator="containsText" text="L">
      <formula>NOT(ISERROR(SEARCH("L",K8)))</formula>
    </cfRule>
  </conditionalFormatting>
  <conditionalFormatting sqref="AO9:AP9">
    <cfRule type="containsText" dxfId="49" priority="30" operator="containsText" text="WO">
      <formula>NOT(ISERROR(SEARCH("WO",AO9)))</formula>
    </cfRule>
  </conditionalFormatting>
  <dataValidations count="1">
    <dataValidation type="list" allowBlank="1" showInputMessage="1" showErrorMessage="1" sqref="K9:AO28" xr:uid="{AA2DD1EF-2630-45FB-8899-7007DFD7A2F9}">
      <formula1>"P,A,L,WO"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FBC65C-EB9A-4D29-A635-A05D36AF40FC}">
          <x14:formula1>
            <xm:f>Sheet3!$A$1:$A$12</xm:f>
          </x14:formula1>
          <xm:sqref>H4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09B8-8185-4A57-AC66-46891C5E122D}">
  <dimension ref="D1:BG44"/>
  <sheetViews>
    <sheetView topLeftCell="AO1" zoomScale="91" zoomScaleNormal="91" workbookViewId="0">
      <selection activeCell="AU18" sqref="AU18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45839</v>
      </c>
      <c r="I4" s="19">
        <f>(DATEDIF($H$4,$L$4,"D")+1)</f>
        <v>31</v>
      </c>
      <c r="J4" s="17" t="str">
        <f>TEXT(H4,"mmm")</f>
        <v>Jul</v>
      </c>
      <c r="K4" s="17" t="s">
        <v>27</v>
      </c>
      <c r="L4" s="18">
        <f>EOMONTH(H4,0)</f>
        <v>45869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Tue</v>
      </c>
      <c r="L7" s="5" t="str">
        <f t="shared" ref="L7:AO7" si="0">TEXT(L8,"ddd")</f>
        <v>Wed</v>
      </c>
      <c r="M7" s="5" t="str">
        <f t="shared" si="0"/>
        <v>Thu</v>
      </c>
      <c r="N7" s="5" t="str">
        <f t="shared" si="0"/>
        <v>Fri</v>
      </c>
      <c r="O7" s="5" t="str">
        <f t="shared" si="0"/>
        <v>Sat</v>
      </c>
      <c r="P7" s="5" t="str">
        <f t="shared" si="0"/>
        <v>Sun</v>
      </c>
      <c r="Q7" s="5" t="str">
        <f t="shared" si="0"/>
        <v>Mon</v>
      </c>
      <c r="R7" s="5" t="str">
        <f t="shared" si="0"/>
        <v>Tue</v>
      </c>
      <c r="S7" s="5" t="str">
        <f t="shared" si="0"/>
        <v>Wed</v>
      </c>
      <c r="T7" s="5" t="str">
        <f t="shared" si="0"/>
        <v>Thu</v>
      </c>
      <c r="U7" s="5" t="str">
        <f t="shared" si="0"/>
        <v>Fri</v>
      </c>
      <c r="V7" s="5" t="str">
        <f t="shared" si="0"/>
        <v>Sat</v>
      </c>
      <c r="W7" s="5" t="str">
        <f t="shared" si="0"/>
        <v>Sun</v>
      </c>
      <c r="X7" s="5" t="str">
        <f t="shared" si="0"/>
        <v>Mon</v>
      </c>
      <c r="Y7" s="5" t="str">
        <f t="shared" si="0"/>
        <v>Tue</v>
      </c>
      <c r="Z7" s="5" t="str">
        <f t="shared" si="0"/>
        <v>Wed</v>
      </c>
      <c r="AA7" s="5" t="str">
        <f t="shared" si="0"/>
        <v>Thu</v>
      </c>
      <c r="AB7" s="5" t="str">
        <f t="shared" si="0"/>
        <v>Fri</v>
      </c>
      <c r="AC7" s="5" t="str">
        <f t="shared" si="0"/>
        <v>Sat</v>
      </c>
      <c r="AD7" s="5" t="str">
        <f t="shared" si="0"/>
        <v>Sun</v>
      </c>
      <c r="AE7" s="5" t="str">
        <f t="shared" si="0"/>
        <v>Mon</v>
      </c>
      <c r="AF7" s="5" t="str">
        <f t="shared" si="0"/>
        <v>Tue</v>
      </c>
      <c r="AG7" s="5" t="str">
        <f t="shared" si="0"/>
        <v>Wed</v>
      </c>
      <c r="AH7" s="5" t="str">
        <f t="shared" si="0"/>
        <v>Thu</v>
      </c>
      <c r="AI7" s="5" t="str">
        <f t="shared" si="0"/>
        <v>Fri</v>
      </c>
      <c r="AJ7" s="5" t="str">
        <f t="shared" si="0"/>
        <v>Sat</v>
      </c>
      <c r="AK7" s="5" t="str">
        <f t="shared" si="0"/>
        <v>Sun</v>
      </c>
      <c r="AL7" s="5" t="str">
        <f t="shared" si="0"/>
        <v>Mon</v>
      </c>
      <c r="AM7" s="5" t="str">
        <f t="shared" si="0"/>
        <v>Tue</v>
      </c>
      <c r="AN7" s="5" t="str">
        <f t="shared" si="0"/>
        <v>Wed</v>
      </c>
      <c r="AO7" s="6" t="str">
        <f t="shared" si="0"/>
        <v>Thu</v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45839</v>
      </c>
      <c r="L8" s="23">
        <f t="shared" ref="L8:AO8" si="1">IF(K8&lt;$L$4,K8+1,"")</f>
        <v>45840</v>
      </c>
      <c r="M8" s="23">
        <f t="shared" si="1"/>
        <v>45841</v>
      </c>
      <c r="N8" s="23">
        <f t="shared" si="1"/>
        <v>45842</v>
      </c>
      <c r="O8" s="23">
        <f t="shared" si="1"/>
        <v>45843</v>
      </c>
      <c r="P8" s="23">
        <f t="shared" si="1"/>
        <v>45844</v>
      </c>
      <c r="Q8" s="23">
        <f t="shared" si="1"/>
        <v>45845</v>
      </c>
      <c r="R8" s="23">
        <f t="shared" si="1"/>
        <v>45846</v>
      </c>
      <c r="S8" s="23">
        <f t="shared" si="1"/>
        <v>45847</v>
      </c>
      <c r="T8" s="23">
        <f t="shared" si="1"/>
        <v>45848</v>
      </c>
      <c r="U8" s="23">
        <f t="shared" si="1"/>
        <v>45849</v>
      </c>
      <c r="V8" s="23">
        <f t="shared" si="1"/>
        <v>45850</v>
      </c>
      <c r="W8" s="23">
        <f t="shared" si="1"/>
        <v>45851</v>
      </c>
      <c r="X8" s="23">
        <f t="shared" si="1"/>
        <v>45852</v>
      </c>
      <c r="Y8" s="23">
        <f t="shared" si="1"/>
        <v>45853</v>
      </c>
      <c r="Z8" s="23">
        <f t="shared" si="1"/>
        <v>45854</v>
      </c>
      <c r="AA8" s="23">
        <f t="shared" si="1"/>
        <v>45855</v>
      </c>
      <c r="AB8" s="23">
        <f t="shared" si="1"/>
        <v>45856</v>
      </c>
      <c r="AC8" s="23">
        <f t="shared" si="1"/>
        <v>45857</v>
      </c>
      <c r="AD8" s="23">
        <f t="shared" si="1"/>
        <v>45858</v>
      </c>
      <c r="AE8" s="23">
        <f t="shared" si="1"/>
        <v>45859</v>
      </c>
      <c r="AF8" s="23">
        <f t="shared" si="1"/>
        <v>45860</v>
      </c>
      <c r="AG8" s="23">
        <f t="shared" si="1"/>
        <v>45861</v>
      </c>
      <c r="AH8" s="23">
        <f t="shared" si="1"/>
        <v>45862</v>
      </c>
      <c r="AI8" s="23">
        <f t="shared" si="1"/>
        <v>45863</v>
      </c>
      <c r="AJ8" s="23">
        <f t="shared" si="1"/>
        <v>45864</v>
      </c>
      <c r="AK8" s="23">
        <f t="shared" si="1"/>
        <v>45865</v>
      </c>
      <c r="AL8" s="23">
        <f t="shared" si="1"/>
        <v>45866</v>
      </c>
      <c r="AM8" s="23">
        <f t="shared" si="1"/>
        <v>45867</v>
      </c>
      <c r="AN8" s="23">
        <f t="shared" si="1"/>
        <v>45868</v>
      </c>
      <c r="AO8" s="24">
        <f t="shared" si="1"/>
        <v>45869</v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4</v>
      </c>
      <c r="K9" s="34" t="s">
        <v>45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42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42</v>
      </c>
      <c r="AO9" s="28" t="s">
        <v>46</v>
      </c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Jul</v>
      </c>
      <c r="AV9" s="11">
        <f t="shared" ref="AV9:AV28" si="3">COUNTIF($K9:$AO9,"P")</f>
        <v>21</v>
      </c>
      <c r="AW9" s="11">
        <f t="shared" ref="AW9:AW28" si="4">COUNTIF($K9:$AO9,"A")</f>
        <v>1</v>
      </c>
      <c r="AX9" s="11">
        <f t="shared" ref="AX9:AX28" si="5">COUNTIF($K9:$AO9,"L")</f>
        <v>5</v>
      </c>
      <c r="AY9" s="11">
        <f t="shared" ref="AY9:AY28" si="6">$J$9</f>
        <v>4</v>
      </c>
      <c r="AZ9" s="13">
        <f t="shared" ref="AZ9:AZ28" si="7">$I$4</f>
        <v>31</v>
      </c>
      <c r="BA9" s="13">
        <f>(julrepo[[#This Row],[Days]]-julrepo[[#This Row],[Absent]])</f>
        <v>30</v>
      </c>
      <c r="BB9" s="11">
        <f t="shared" ref="BB9:BB28" ca="1" si="8">RANDBETWEEN(10000,25000)</f>
        <v>12228</v>
      </c>
      <c r="BC9" s="13">
        <f ca="1">(julrepo[[#This Row],[Salary]]/julrepo[[#This Row],[Paid Days]])</f>
        <v>407.6</v>
      </c>
      <c r="BD9" s="13">
        <f ca="1">julrepo[[#This Row],[Salary]]*julrepo[[#This Row],[Absent]]</f>
        <v>12228</v>
      </c>
      <c r="BE9" s="13">
        <f ca="1">julrepo[[#This Row],[Salary]]-julrepo[[#This Row],[Deduction]]</f>
        <v>0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9">COUNTIF($K$7:$AO$7,"Sun")</f>
        <v>4</v>
      </c>
      <c r="K10" s="34" t="s">
        <v>42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42</v>
      </c>
      <c r="Q10" s="34" t="s">
        <v>42</v>
      </c>
      <c r="R10" s="34" t="s">
        <v>42</v>
      </c>
      <c r="S10" s="34" t="s">
        <v>42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45</v>
      </c>
      <c r="AL10" s="34" t="s">
        <v>42</v>
      </c>
      <c r="AM10" s="34" t="s">
        <v>42</v>
      </c>
      <c r="AN10" s="34" t="s">
        <v>42</v>
      </c>
      <c r="AO10" s="28" t="s">
        <v>46</v>
      </c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Jul</v>
      </c>
      <c r="AV10" s="11">
        <f t="shared" si="3"/>
        <v>21</v>
      </c>
      <c r="AW10" s="11">
        <f t="shared" si="4"/>
        <v>1</v>
      </c>
      <c r="AX10" s="11">
        <f t="shared" si="5"/>
        <v>5</v>
      </c>
      <c r="AY10" s="11">
        <f t="shared" si="6"/>
        <v>4</v>
      </c>
      <c r="AZ10" s="13">
        <f t="shared" si="7"/>
        <v>31</v>
      </c>
      <c r="BA10" s="13">
        <f>(julrepo[[#This Row],[Days]]-julrepo[[#This Row],[Absent]])</f>
        <v>30</v>
      </c>
      <c r="BB10" s="11">
        <f t="shared" ca="1" si="8"/>
        <v>20224</v>
      </c>
      <c r="BC10" s="13">
        <f ca="1">(julrepo[[#This Row],[Salary]]/julrepo[[#This Row],[Paid Days]])</f>
        <v>674.13333333333333</v>
      </c>
      <c r="BD10" s="13">
        <f ca="1">julrepo[[#This Row],[Salary]]*julrepo[[#This Row],[Absent]]</f>
        <v>20224</v>
      </c>
      <c r="BE10" s="13">
        <f ca="1">julrepo[[#This Row],[Salary]]-julrepo[[#This Row],[Deduction]]</f>
        <v>0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9"/>
        <v>4</v>
      </c>
      <c r="K11" s="34" t="s">
        <v>42</v>
      </c>
      <c r="L11" s="34" t="s">
        <v>42</v>
      </c>
      <c r="M11" s="34" t="s">
        <v>42</v>
      </c>
      <c r="N11" s="34" t="s">
        <v>46</v>
      </c>
      <c r="O11" s="34" t="s">
        <v>44</v>
      </c>
      <c r="P11" s="34" t="s">
        <v>45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42</v>
      </c>
      <c r="X11" s="34" t="s">
        <v>42</v>
      </c>
      <c r="Y11" s="34" t="s">
        <v>42</v>
      </c>
      <c r="Z11" s="34" t="s">
        <v>45</v>
      </c>
      <c r="AA11" s="34" t="s">
        <v>42</v>
      </c>
      <c r="AB11" s="34" t="s">
        <v>46</v>
      </c>
      <c r="AC11" s="34" t="s">
        <v>44</v>
      </c>
      <c r="AD11" s="34" t="s">
        <v>45</v>
      </c>
      <c r="AE11" s="34" t="s">
        <v>42</v>
      </c>
      <c r="AF11" s="34" t="s">
        <v>42</v>
      </c>
      <c r="AG11" s="34" t="s">
        <v>42</v>
      </c>
      <c r="AH11" s="34" t="s">
        <v>42</v>
      </c>
      <c r="AI11" s="34" t="s">
        <v>46</v>
      </c>
      <c r="AJ11" s="34" t="s">
        <v>44</v>
      </c>
      <c r="AK11" s="34" t="s">
        <v>42</v>
      </c>
      <c r="AL11" s="34" t="s">
        <v>42</v>
      </c>
      <c r="AM11" s="34" t="s">
        <v>42</v>
      </c>
      <c r="AN11" s="34" t="s">
        <v>42</v>
      </c>
      <c r="AO11" s="28" t="s">
        <v>46</v>
      </c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Jul</v>
      </c>
      <c r="AV11" s="11">
        <f t="shared" si="3"/>
        <v>19</v>
      </c>
      <c r="AW11" s="11">
        <f t="shared" si="4"/>
        <v>3</v>
      </c>
      <c r="AX11" s="11">
        <f t="shared" si="5"/>
        <v>5</v>
      </c>
      <c r="AY11" s="11">
        <f t="shared" si="6"/>
        <v>4</v>
      </c>
      <c r="AZ11" s="13">
        <f t="shared" si="7"/>
        <v>31</v>
      </c>
      <c r="BA11" s="13">
        <f>(julrepo[[#This Row],[Days]]-julrepo[[#This Row],[Absent]])</f>
        <v>28</v>
      </c>
      <c r="BB11" s="11">
        <f t="shared" ca="1" si="8"/>
        <v>15909</v>
      </c>
      <c r="BC11" s="13">
        <f ca="1">(julrepo[[#This Row],[Salary]]/julrepo[[#This Row],[Paid Days]])</f>
        <v>568.17857142857144</v>
      </c>
      <c r="BD11" s="13">
        <f ca="1">julrepo[[#This Row],[Salary]]*julrepo[[#This Row],[Absent]]</f>
        <v>47727</v>
      </c>
      <c r="BE11" s="13">
        <f ca="1">julrepo[[#This Row],[Salary]]-julrepo[[#This Row],[Deduction]]</f>
        <v>-31818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9"/>
        <v>4</v>
      </c>
      <c r="K12" s="34" t="s">
        <v>42</v>
      </c>
      <c r="L12" s="34" t="s">
        <v>42</v>
      </c>
      <c r="M12" s="34" t="s">
        <v>42</v>
      </c>
      <c r="N12" s="34" t="s">
        <v>46</v>
      </c>
      <c r="O12" s="34" t="s">
        <v>44</v>
      </c>
      <c r="P12" s="34" t="s">
        <v>42</v>
      </c>
      <c r="Q12" s="34" t="s">
        <v>42</v>
      </c>
      <c r="R12" s="34" t="s">
        <v>42</v>
      </c>
      <c r="S12" s="34" t="s">
        <v>42</v>
      </c>
      <c r="T12" s="34" t="s">
        <v>42</v>
      </c>
      <c r="U12" s="34" t="s">
        <v>46</v>
      </c>
      <c r="V12" s="34" t="s">
        <v>44</v>
      </c>
      <c r="W12" s="34" t="s">
        <v>45</v>
      </c>
      <c r="X12" s="34" t="s">
        <v>42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42</v>
      </c>
      <c r="AE12" s="34" t="s">
        <v>42</v>
      </c>
      <c r="AF12" s="34" t="s">
        <v>42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42</v>
      </c>
      <c r="AL12" s="34" t="s">
        <v>42</v>
      </c>
      <c r="AM12" s="34" t="s">
        <v>42</v>
      </c>
      <c r="AN12" s="34" t="s">
        <v>42</v>
      </c>
      <c r="AO12" s="28" t="s">
        <v>46</v>
      </c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Jul</v>
      </c>
      <c r="AV12" s="11">
        <f t="shared" si="3"/>
        <v>21</v>
      </c>
      <c r="AW12" s="11">
        <f t="shared" si="4"/>
        <v>1</v>
      </c>
      <c r="AX12" s="11">
        <f t="shared" si="5"/>
        <v>5</v>
      </c>
      <c r="AY12" s="11">
        <f t="shared" si="6"/>
        <v>4</v>
      </c>
      <c r="AZ12" s="13">
        <f t="shared" si="7"/>
        <v>31</v>
      </c>
      <c r="BA12" s="13">
        <f>(julrepo[[#This Row],[Days]]-julrepo[[#This Row],[Absent]])</f>
        <v>30</v>
      </c>
      <c r="BB12" s="11">
        <f t="shared" ca="1" si="8"/>
        <v>10476</v>
      </c>
      <c r="BC12" s="13">
        <f ca="1">(julrepo[[#This Row],[Salary]]/julrepo[[#This Row],[Paid Days]])</f>
        <v>349.2</v>
      </c>
      <c r="BD12" s="13">
        <f ca="1">julrepo[[#This Row],[Salary]]*julrepo[[#This Row],[Absent]]</f>
        <v>10476</v>
      </c>
      <c r="BE12" s="13">
        <f ca="1">julrepo[[#This Row],[Salary]]-julrepo[[#This Row],[Deduction]]</f>
        <v>0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9"/>
        <v>4</v>
      </c>
      <c r="K13" s="34" t="s">
        <v>42</v>
      </c>
      <c r="L13" s="34" t="s">
        <v>45</v>
      </c>
      <c r="M13" s="34" t="s">
        <v>42</v>
      </c>
      <c r="N13" s="34" t="s">
        <v>46</v>
      </c>
      <c r="O13" s="34" t="s">
        <v>44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42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42</v>
      </c>
      <c r="AN13" s="34" t="s">
        <v>45</v>
      </c>
      <c r="AO13" s="28" t="s">
        <v>46</v>
      </c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Jul</v>
      </c>
      <c r="AV13" s="11">
        <f t="shared" si="3"/>
        <v>20</v>
      </c>
      <c r="AW13" s="11">
        <f t="shared" si="4"/>
        <v>2</v>
      </c>
      <c r="AX13" s="11">
        <f t="shared" si="5"/>
        <v>5</v>
      </c>
      <c r="AY13" s="11">
        <f t="shared" si="6"/>
        <v>4</v>
      </c>
      <c r="AZ13" s="13">
        <f t="shared" si="7"/>
        <v>31</v>
      </c>
      <c r="BA13" s="13">
        <f>(julrepo[[#This Row],[Days]]-julrepo[[#This Row],[Absent]])</f>
        <v>29</v>
      </c>
      <c r="BB13" s="11">
        <f t="shared" ca="1" si="8"/>
        <v>11707</v>
      </c>
      <c r="BC13" s="13">
        <f ca="1">(julrepo[[#This Row],[Salary]]/julrepo[[#This Row],[Paid Days]])</f>
        <v>403.68965517241378</v>
      </c>
      <c r="BD13" s="13">
        <f ca="1">julrepo[[#This Row],[Salary]]*julrepo[[#This Row],[Absent]]</f>
        <v>23414</v>
      </c>
      <c r="BE13" s="13">
        <f ca="1">julrepo[[#This Row],[Salary]]-julrepo[[#This Row],[Deduction]]</f>
        <v>-11707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9"/>
        <v>4</v>
      </c>
      <c r="K14" s="34" t="s">
        <v>42</v>
      </c>
      <c r="L14" s="34" t="s">
        <v>42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42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42</v>
      </c>
      <c r="AL14" s="34" t="s">
        <v>42</v>
      </c>
      <c r="AM14" s="34" t="s">
        <v>42</v>
      </c>
      <c r="AN14" s="34" t="s">
        <v>42</v>
      </c>
      <c r="AO14" s="28" t="s">
        <v>46</v>
      </c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Jul</v>
      </c>
      <c r="AV14" s="11">
        <f t="shared" si="3"/>
        <v>22</v>
      </c>
      <c r="AW14" s="11">
        <f t="shared" si="4"/>
        <v>0</v>
      </c>
      <c r="AX14" s="11">
        <f t="shared" si="5"/>
        <v>5</v>
      </c>
      <c r="AY14" s="11">
        <f t="shared" si="6"/>
        <v>4</v>
      </c>
      <c r="AZ14" s="13">
        <f t="shared" si="7"/>
        <v>31</v>
      </c>
      <c r="BA14" s="13">
        <f>(julrepo[[#This Row],[Days]]-julrepo[[#This Row],[Absent]])</f>
        <v>31</v>
      </c>
      <c r="BB14" s="11">
        <f t="shared" ca="1" si="8"/>
        <v>24631</v>
      </c>
      <c r="BC14" s="13">
        <f ca="1">(julrepo[[#This Row],[Salary]]/julrepo[[#This Row],[Paid Days]])</f>
        <v>794.54838709677415</v>
      </c>
      <c r="BD14" s="13">
        <f ca="1">julrepo[[#This Row],[Salary]]*julrepo[[#This Row],[Absent]]</f>
        <v>0</v>
      </c>
      <c r="BE14" s="13">
        <f ca="1">julrepo[[#This Row],[Salary]]-julrepo[[#This Row],[Deduction]]</f>
        <v>24631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9"/>
        <v>4</v>
      </c>
      <c r="K15" s="34" t="s">
        <v>42</v>
      </c>
      <c r="L15" s="34" t="s">
        <v>42</v>
      </c>
      <c r="M15" s="34" t="s">
        <v>42</v>
      </c>
      <c r="N15" s="34" t="s">
        <v>46</v>
      </c>
      <c r="O15" s="34" t="s">
        <v>44</v>
      </c>
      <c r="P15" s="34" t="s">
        <v>42</v>
      </c>
      <c r="Q15" s="34" t="s">
        <v>42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45</v>
      </c>
      <c r="Y15" s="34" t="s">
        <v>42</v>
      </c>
      <c r="Z15" s="34" t="s">
        <v>42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42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42</v>
      </c>
      <c r="AL15" s="34" t="s">
        <v>42</v>
      </c>
      <c r="AM15" s="34" t="s">
        <v>42</v>
      </c>
      <c r="AN15" s="34" t="s">
        <v>42</v>
      </c>
      <c r="AO15" s="28" t="s">
        <v>46</v>
      </c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Jul</v>
      </c>
      <c r="AV15" s="11">
        <f t="shared" si="3"/>
        <v>21</v>
      </c>
      <c r="AW15" s="11">
        <f t="shared" si="4"/>
        <v>1</v>
      </c>
      <c r="AX15" s="11">
        <f t="shared" si="5"/>
        <v>5</v>
      </c>
      <c r="AY15" s="11">
        <f t="shared" si="6"/>
        <v>4</v>
      </c>
      <c r="AZ15" s="13">
        <f t="shared" si="7"/>
        <v>31</v>
      </c>
      <c r="BA15" s="13">
        <f>(julrepo[[#This Row],[Days]]-julrepo[[#This Row],[Absent]])</f>
        <v>30</v>
      </c>
      <c r="BB15" s="11">
        <f t="shared" ca="1" si="8"/>
        <v>11739</v>
      </c>
      <c r="BC15" s="13">
        <f ca="1">(julrepo[[#This Row],[Salary]]/julrepo[[#This Row],[Paid Days]])</f>
        <v>391.3</v>
      </c>
      <c r="BD15" s="13">
        <f ca="1">julrepo[[#This Row],[Salary]]*julrepo[[#This Row],[Absent]]</f>
        <v>11739</v>
      </c>
      <c r="BE15" s="13">
        <f ca="1">julrepo[[#This Row],[Salary]]-julrepo[[#This Row],[Deduction]]</f>
        <v>0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9"/>
        <v>4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45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42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45</v>
      </c>
      <c r="AM16" s="34" t="s">
        <v>42</v>
      </c>
      <c r="AN16" s="34" t="s">
        <v>42</v>
      </c>
      <c r="AO16" s="28" t="s">
        <v>46</v>
      </c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Jul</v>
      </c>
      <c r="AV16" s="11">
        <f t="shared" si="3"/>
        <v>20</v>
      </c>
      <c r="AW16" s="11">
        <f t="shared" si="4"/>
        <v>2</v>
      </c>
      <c r="AX16" s="11">
        <f t="shared" si="5"/>
        <v>5</v>
      </c>
      <c r="AY16" s="11">
        <f t="shared" si="6"/>
        <v>4</v>
      </c>
      <c r="AZ16" s="13">
        <f t="shared" si="7"/>
        <v>31</v>
      </c>
      <c r="BA16" s="13">
        <f>(julrepo[[#This Row],[Days]]-julrepo[[#This Row],[Absent]])</f>
        <v>29</v>
      </c>
      <c r="BB16" s="11">
        <f t="shared" ca="1" si="8"/>
        <v>12667</v>
      </c>
      <c r="BC16" s="13">
        <f ca="1">(julrepo[[#This Row],[Salary]]/julrepo[[#This Row],[Paid Days]])</f>
        <v>436.79310344827587</v>
      </c>
      <c r="BD16" s="13">
        <f ca="1">julrepo[[#This Row],[Salary]]*julrepo[[#This Row],[Absent]]</f>
        <v>25334</v>
      </c>
      <c r="BE16" s="13">
        <f ca="1">julrepo[[#This Row],[Salary]]-julrepo[[#This Row],[Deduction]]</f>
        <v>-12667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9"/>
        <v>4</v>
      </c>
      <c r="K17" s="34" t="s">
        <v>42</v>
      </c>
      <c r="L17" s="34" t="s">
        <v>42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42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42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42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42</v>
      </c>
      <c r="AO17" s="28" t="s">
        <v>46</v>
      </c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Jul</v>
      </c>
      <c r="AV17" s="11">
        <f t="shared" si="3"/>
        <v>22</v>
      </c>
      <c r="AW17" s="11">
        <f t="shared" si="4"/>
        <v>0</v>
      </c>
      <c r="AX17" s="11">
        <f t="shared" si="5"/>
        <v>5</v>
      </c>
      <c r="AY17" s="11">
        <f t="shared" si="6"/>
        <v>4</v>
      </c>
      <c r="AZ17" s="13">
        <f t="shared" si="7"/>
        <v>31</v>
      </c>
      <c r="BA17" s="13">
        <f>(julrepo[[#This Row],[Days]]-julrepo[[#This Row],[Absent]])</f>
        <v>31</v>
      </c>
      <c r="BB17" s="11">
        <f t="shared" ca="1" si="8"/>
        <v>11641</v>
      </c>
      <c r="BC17" s="13">
        <f ca="1">(julrepo[[#This Row],[Salary]]/julrepo[[#This Row],[Paid Days]])</f>
        <v>375.51612903225805</v>
      </c>
      <c r="BD17" s="13">
        <f ca="1">julrepo[[#This Row],[Salary]]*julrepo[[#This Row],[Absent]]</f>
        <v>0</v>
      </c>
      <c r="BE17" s="13">
        <f ca="1">julrepo[[#This Row],[Salary]]-julrepo[[#This Row],[Deduction]]</f>
        <v>11641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9"/>
        <v>4</v>
      </c>
      <c r="K18" s="34" t="s">
        <v>42</v>
      </c>
      <c r="L18" s="34" t="s">
        <v>42</v>
      </c>
      <c r="M18" s="34" t="s">
        <v>42</v>
      </c>
      <c r="N18" s="34" t="s">
        <v>46</v>
      </c>
      <c r="O18" s="34" t="s">
        <v>44</v>
      </c>
      <c r="P18" s="34" t="s">
        <v>42</v>
      </c>
      <c r="Q18" s="34" t="s">
        <v>42</v>
      </c>
      <c r="R18" s="34" t="s">
        <v>42</v>
      </c>
      <c r="S18" s="34" t="s">
        <v>42</v>
      </c>
      <c r="T18" s="34" t="s">
        <v>42</v>
      </c>
      <c r="U18" s="34" t="s">
        <v>46</v>
      </c>
      <c r="V18" s="34" t="s">
        <v>44</v>
      </c>
      <c r="W18" s="34" t="s">
        <v>42</v>
      </c>
      <c r="X18" s="34" t="s">
        <v>42</v>
      </c>
      <c r="Y18" s="34" t="s">
        <v>42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45</v>
      </c>
      <c r="AF18" s="34" t="s">
        <v>42</v>
      </c>
      <c r="AG18" s="34" t="s">
        <v>45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42</v>
      </c>
      <c r="AO18" s="28" t="s">
        <v>46</v>
      </c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Jul</v>
      </c>
      <c r="AV18" s="11">
        <f t="shared" si="3"/>
        <v>20</v>
      </c>
      <c r="AW18" s="11">
        <f t="shared" si="4"/>
        <v>2</v>
      </c>
      <c r="AX18" s="11">
        <f t="shared" si="5"/>
        <v>5</v>
      </c>
      <c r="AY18" s="11">
        <f t="shared" si="6"/>
        <v>4</v>
      </c>
      <c r="AZ18" s="13">
        <f t="shared" si="7"/>
        <v>31</v>
      </c>
      <c r="BA18" s="13">
        <f>(julrepo[[#This Row],[Days]]-julrepo[[#This Row],[Absent]])</f>
        <v>29</v>
      </c>
      <c r="BB18" s="11">
        <f t="shared" ca="1" si="8"/>
        <v>20588</v>
      </c>
      <c r="BC18" s="13">
        <f ca="1">(julrepo[[#This Row],[Salary]]/julrepo[[#This Row],[Paid Days]])</f>
        <v>709.93103448275861</v>
      </c>
      <c r="BD18" s="13">
        <f ca="1">julrepo[[#This Row],[Salary]]*julrepo[[#This Row],[Absent]]</f>
        <v>41176</v>
      </c>
      <c r="BE18" s="13">
        <f ca="1">julrepo[[#This Row],[Salary]]-julrepo[[#This Row],[Deduction]]</f>
        <v>-20588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9"/>
        <v>4</v>
      </c>
      <c r="K19" s="34" t="s">
        <v>42</v>
      </c>
      <c r="L19" s="34" t="s">
        <v>42</v>
      </c>
      <c r="M19" s="34" t="s">
        <v>42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42</v>
      </c>
      <c r="T19" s="34" t="s">
        <v>42</v>
      </c>
      <c r="U19" s="34" t="s">
        <v>46</v>
      </c>
      <c r="V19" s="34" t="s">
        <v>44</v>
      </c>
      <c r="W19" s="34" t="s">
        <v>42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42</v>
      </c>
      <c r="AN19" s="34" t="s">
        <v>42</v>
      </c>
      <c r="AO19" s="28" t="s">
        <v>46</v>
      </c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Jul</v>
      </c>
      <c r="AV19" s="11">
        <f t="shared" si="3"/>
        <v>22</v>
      </c>
      <c r="AW19" s="11">
        <f t="shared" si="4"/>
        <v>0</v>
      </c>
      <c r="AX19" s="11">
        <f t="shared" si="5"/>
        <v>5</v>
      </c>
      <c r="AY19" s="11">
        <f t="shared" si="6"/>
        <v>4</v>
      </c>
      <c r="AZ19" s="13">
        <f t="shared" si="7"/>
        <v>31</v>
      </c>
      <c r="BA19" s="13">
        <f>(julrepo[[#This Row],[Days]]-julrepo[[#This Row],[Absent]])</f>
        <v>31</v>
      </c>
      <c r="BB19" s="11">
        <f t="shared" ca="1" si="8"/>
        <v>11234</v>
      </c>
      <c r="BC19" s="13">
        <f ca="1">(julrepo[[#This Row],[Salary]]/julrepo[[#This Row],[Paid Days]])</f>
        <v>362.38709677419354</v>
      </c>
      <c r="BD19" s="13">
        <f ca="1">julrepo[[#This Row],[Salary]]*julrepo[[#This Row],[Absent]]</f>
        <v>0</v>
      </c>
      <c r="BE19" s="13">
        <f ca="1">julrepo[[#This Row],[Salary]]-julrepo[[#This Row],[Deduction]]</f>
        <v>11234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9"/>
        <v>4</v>
      </c>
      <c r="K20" s="34" t="s">
        <v>42</v>
      </c>
      <c r="L20" s="34" t="s">
        <v>42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42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42</v>
      </c>
      <c r="X20" s="34" t="s">
        <v>42</v>
      </c>
      <c r="Y20" s="34" t="s">
        <v>42</v>
      </c>
      <c r="Z20" s="34" t="s">
        <v>45</v>
      </c>
      <c r="AA20" s="34" t="s">
        <v>42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42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42</v>
      </c>
      <c r="AN20" s="34" t="s">
        <v>42</v>
      </c>
      <c r="AO20" s="28" t="s">
        <v>46</v>
      </c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Jul</v>
      </c>
      <c r="AV20" s="11">
        <f t="shared" si="3"/>
        <v>21</v>
      </c>
      <c r="AW20" s="11">
        <f t="shared" si="4"/>
        <v>1</v>
      </c>
      <c r="AX20" s="11">
        <f t="shared" si="5"/>
        <v>5</v>
      </c>
      <c r="AY20" s="11">
        <f t="shared" si="6"/>
        <v>4</v>
      </c>
      <c r="AZ20" s="13">
        <f t="shared" si="7"/>
        <v>31</v>
      </c>
      <c r="BA20" s="13">
        <f>(julrepo[[#This Row],[Days]]-julrepo[[#This Row],[Absent]])</f>
        <v>30</v>
      </c>
      <c r="BB20" s="11">
        <f t="shared" ca="1" si="8"/>
        <v>17525</v>
      </c>
      <c r="BC20" s="13">
        <f ca="1">(julrepo[[#This Row],[Salary]]/julrepo[[#This Row],[Paid Days]])</f>
        <v>584.16666666666663</v>
      </c>
      <c r="BD20" s="13">
        <f ca="1">julrepo[[#This Row],[Salary]]*julrepo[[#This Row],[Absent]]</f>
        <v>17525</v>
      </c>
      <c r="BE20" s="13">
        <f ca="1">julrepo[[#This Row],[Salary]]-julrepo[[#This Row],[Deduction]]</f>
        <v>0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9"/>
        <v>4</v>
      </c>
      <c r="K21" s="34" t="s">
        <v>45</v>
      </c>
      <c r="L21" s="34" t="s">
        <v>42</v>
      </c>
      <c r="M21" s="34" t="s">
        <v>42</v>
      </c>
      <c r="N21" s="34" t="s">
        <v>46</v>
      </c>
      <c r="O21" s="34" t="s">
        <v>44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45</v>
      </c>
      <c r="U21" s="34" t="s">
        <v>46</v>
      </c>
      <c r="V21" s="34" t="s">
        <v>44</v>
      </c>
      <c r="W21" s="34" t="s">
        <v>45</v>
      </c>
      <c r="X21" s="34" t="s">
        <v>42</v>
      </c>
      <c r="Y21" s="34" t="s">
        <v>42</v>
      </c>
      <c r="Z21" s="34" t="s">
        <v>42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42</v>
      </c>
      <c r="AO21" s="28" t="s">
        <v>46</v>
      </c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Jul</v>
      </c>
      <c r="AV21" s="11">
        <f t="shared" si="3"/>
        <v>19</v>
      </c>
      <c r="AW21" s="11">
        <f t="shared" si="4"/>
        <v>3</v>
      </c>
      <c r="AX21" s="11">
        <f t="shared" si="5"/>
        <v>5</v>
      </c>
      <c r="AY21" s="11">
        <f t="shared" si="6"/>
        <v>4</v>
      </c>
      <c r="AZ21" s="13">
        <f t="shared" si="7"/>
        <v>31</v>
      </c>
      <c r="BA21" s="13">
        <f>(julrepo[[#This Row],[Days]]-julrepo[[#This Row],[Absent]])</f>
        <v>28</v>
      </c>
      <c r="BB21" s="11">
        <f t="shared" ca="1" si="8"/>
        <v>22064</v>
      </c>
      <c r="BC21" s="13">
        <f ca="1">(julrepo[[#This Row],[Salary]]/julrepo[[#This Row],[Paid Days]])</f>
        <v>788</v>
      </c>
      <c r="BD21" s="13">
        <f ca="1">julrepo[[#This Row],[Salary]]*julrepo[[#This Row],[Absent]]</f>
        <v>66192</v>
      </c>
      <c r="BE21" s="13">
        <f ca="1">julrepo[[#This Row],[Salary]]-julrepo[[#This Row],[Deduction]]</f>
        <v>-44128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9"/>
        <v>4</v>
      </c>
      <c r="K22" s="34" t="s">
        <v>42</v>
      </c>
      <c r="L22" s="34" t="s">
        <v>42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42</v>
      </c>
      <c r="AL22" s="34" t="s">
        <v>42</v>
      </c>
      <c r="AM22" s="34" t="s">
        <v>45</v>
      </c>
      <c r="AN22" s="34" t="s">
        <v>42</v>
      </c>
      <c r="AO22" s="28" t="s">
        <v>46</v>
      </c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Jul</v>
      </c>
      <c r="AV22" s="11">
        <f t="shared" si="3"/>
        <v>21</v>
      </c>
      <c r="AW22" s="11">
        <f t="shared" si="4"/>
        <v>1</v>
      </c>
      <c r="AX22" s="11">
        <f t="shared" si="5"/>
        <v>5</v>
      </c>
      <c r="AY22" s="11">
        <f t="shared" si="6"/>
        <v>4</v>
      </c>
      <c r="AZ22" s="13">
        <f t="shared" si="7"/>
        <v>31</v>
      </c>
      <c r="BA22" s="13">
        <f>(julrepo[[#This Row],[Days]]-julrepo[[#This Row],[Absent]])</f>
        <v>30</v>
      </c>
      <c r="BB22" s="11">
        <f t="shared" ca="1" si="8"/>
        <v>24713</v>
      </c>
      <c r="BC22" s="13">
        <f ca="1">(julrepo[[#This Row],[Salary]]/julrepo[[#This Row],[Paid Days]])</f>
        <v>823.76666666666665</v>
      </c>
      <c r="BD22" s="13">
        <f ca="1">julrepo[[#This Row],[Salary]]*julrepo[[#This Row],[Absent]]</f>
        <v>24713</v>
      </c>
      <c r="BE22" s="13">
        <f ca="1">julrepo[[#This Row],[Salary]]-julrepo[[#This Row],[Deduction]]</f>
        <v>0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9"/>
        <v>4</v>
      </c>
      <c r="K23" s="34" t="s">
        <v>42</v>
      </c>
      <c r="L23" s="34" t="s">
        <v>42</v>
      </c>
      <c r="M23" s="34" t="s">
        <v>45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42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42</v>
      </c>
      <c r="AL23" s="34" t="s">
        <v>42</v>
      </c>
      <c r="AM23" s="34" t="s">
        <v>42</v>
      </c>
      <c r="AN23" s="34" t="s">
        <v>42</v>
      </c>
      <c r="AO23" s="28" t="s">
        <v>46</v>
      </c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Jul</v>
      </c>
      <c r="AV23" s="11">
        <f t="shared" si="3"/>
        <v>21</v>
      </c>
      <c r="AW23" s="11">
        <f t="shared" si="4"/>
        <v>1</v>
      </c>
      <c r="AX23" s="11">
        <f t="shared" si="5"/>
        <v>5</v>
      </c>
      <c r="AY23" s="11">
        <f t="shared" si="6"/>
        <v>4</v>
      </c>
      <c r="AZ23" s="13">
        <f t="shared" si="7"/>
        <v>31</v>
      </c>
      <c r="BA23" s="13">
        <f>(julrepo[[#This Row],[Days]]-julrepo[[#This Row],[Absent]])</f>
        <v>30</v>
      </c>
      <c r="BB23" s="11">
        <f t="shared" ca="1" si="8"/>
        <v>14741</v>
      </c>
      <c r="BC23" s="13">
        <f ca="1">(julrepo[[#This Row],[Salary]]/julrepo[[#This Row],[Paid Days]])</f>
        <v>491.36666666666667</v>
      </c>
      <c r="BD23" s="13">
        <f ca="1">julrepo[[#This Row],[Salary]]*julrepo[[#This Row],[Absent]]</f>
        <v>14741</v>
      </c>
      <c r="BE23" s="13">
        <f ca="1">julrepo[[#This Row],[Salary]]-julrepo[[#This Row],[Deduction]]</f>
        <v>0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9"/>
        <v>4</v>
      </c>
      <c r="K24" s="34" t="s">
        <v>42</v>
      </c>
      <c r="L24" s="34" t="s">
        <v>42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42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45</v>
      </c>
      <c r="Y24" s="34" t="s">
        <v>42</v>
      </c>
      <c r="Z24" s="34" t="s">
        <v>42</v>
      </c>
      <c r="AA24" s="34" t="s">
        <v>45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42</v>
      </c>
      <c r="AN24" s="34" t="s">
        <v>42</v>
      </c>
      <c r="AO24" s="28" t="s">
        <v>46</v>
      </c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Jul</v>
      </c>
      <c r="AV24" s="11">
        <f t="shared" si="3"/>
        <v>20</v>
      </c>
      <c r="AW24" s="11">
        <f t="shared" si="4"/>
        <v>2</v>
      </c>
      <c r="AX24" s="11">
        <f t="shared" si="5"/>
        <v>5</v>
      </c>
      <c r="AY24" s="11">
        <f t="shared" si="6"/>
        <v>4</v>
      </c>
      <c r="AZ24" s="13">
        <f t="shared" si="7"/>
        <v>31</v>
      </c>
      <c r="BA24" s="13">
        <f>(julrepo[[#This Row],[Days]]-julrepo[[#This Row],[Absent]])</f>
        <v>29</v>
      </c>
      <c r="BB24" s="11">
        <f t="shared" ca="1" si="8"/>
        <v>21031</v>
      </c>
      <c r="BC24" s="13">
        <f ca="1">(julrepo[[#This Row],[Salary]]/julrepo[[#This Row],[Paid Days]])</f>
        <v>725.20689655172418</v>
      </c>
      <c r="BD24" s="13">
        <f ca="1">julrepo[[#This Row],[Salary]]*julrepo[[#This Row],[Absent]]</f>
        <v>42062</v>
      </c>
      <c r="BE24" s="13">
        <f ca="1">julrepo[[#This Row],[Salary]]-julrepo[[#This Row],[Deduction]]</f>
        <v>-21031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9"/>
        <v>4</v>
      </c>
      <c r="K25" s="34" t="s">
        <v>42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42</v>
      </c>
      <c r="Q25" s="34" t="s">
        <v>42</v>
      </c>
      <c r="R25" s="34" t="s">
        <v>45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42</v>
      </c>
      <c r="Z25" s="34" t="s">
        <v>42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45</v>
      </c>
      <c r="AG25" s="34" t="s">
        <v>42</v>
      </c>
      <c r="AH25" s="34" t="s">
        <v>42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42</v>
      </c>
      <c r="AO25" s="28" t="s">
        <v>46</v>
      </c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Jul</v>
      </c>
      <c r="AV25" s="11">
        <f t="shared" si="3"/>
        <v>20</v>
      </c>
      <c r="AW25" s="11">
        <f t="shared" si="4"/>
        <v>2</v>
      </c>
      <c r="AX25" s="11">
        <f t="shared" si="5"/>
        <v>5</v>
      </c>
      <c r="AY25" s="11">
        <f t="shared" si="6"/>
        <v>4</v>
      </c>
      <c r="AZ25" s="13">
        <f t="shared" si="7"/>
        <v>31</v>
      </c>
      <c r="BA25" s="13">
        <f>(julrepo[[#This Row],[Days]]-julrepo[[#This Row],[Absent]])</f>
        <v>29</v>
      </c>
      <c r="BB25" s="11">
        <f t="shared" ca="1" si="8"/>
        <v>14302</v>
      </c>
      <c r="BC25" s="13">
        <f ca="1">(julrepo[[#This Row],[Salary]]/julrepo[[#This Row],[Paid Days]])</f>
        <v>493.17241379310343</v>
      </c>
      <c r="BD25" s="13">
        <f ca="1">julrepo[[#This Row],[Salary]]*julrepo[[#This Row],[Absent]]</f>
        <v>28604</v>
      </c>
      <c r="BE25" s="13">
        <f ca="1">julrepo[[#This Row],[Salary]]-julrepo[[#This Row],[Deduction]]</f>
        <v>-14302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9"/>
        <v>4</v>
      </c>
      <c r="K26" s="34" t="s">
        <v>42</v>
      </c>
      <c r="L26" s="34" t="s">
        <v>42</v>
      </c>
      <c r="M26" s="34" t="s">
        <v>42</v>
      </c>
      <c r="N26" s="34" t="s">
        <v>46</v>
      </c>
      <c r="O26" s="34" t="s">
        <v>44</v>
      </c>
      <c r="P26" s="34" t="s">
        <v>45</v>
      </c>
      <c r="Q26" s="34" t="s">
        <v>42</v>
      </c>
      <c r="R26" s="34" t="s">
        <v>42</v>
      </c>
      <c r="S26" s="34" t="s">
        <v>42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42</v>
      </c>
      <c r="Y26" s="34" t="s">
        <v>42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42</v>
      </c>
      <c r="AM26" s="34" t="s">
        <v>42</v>
      </c>
      <c r="AN26" s="34" t="s">
        <v>45</v>
      </c>
      <c r="AO26" s="28" t="s">
        <v>46</v>
      </c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Jul</v>
      </c>
      <c r="AV26" s="11">
        <f t="shared" si="3"/>
        <v>20</v>
      </c>
      <c r="AW26" s="11">
        <f t="shared" si="4"/>
        <v>2</v>
      </c>
      <c r="AX26" s="11">
        <f t="shared" si="5"/>
        <v>5</v>
      </c>
      <c r="AY26" s="11">
        <f t="shared" si="6"/>
        <v>4</v>
      </c>
      <c r="AZ26" s="13">
        <f t="shared" si="7"/>
        <v>31</v>
      </c>
      <c r="BA26" s="13">
        <f>(julrepo[[#This Row],[Days]]-julrepo[[#This Row],[Absent]])</f>
        <v>29</v>
      </c>
      <c r="BB26" s="11">
        <f t="shared" ca="1" si="8"/>
        <v>19068</v>
      </c>
      <c r="BC26" s="13">
        <f ca="1">(julrepo[[#This Row],[Salary]]/julrepo[[#This Row],[Paid Days]])</f>
        <v>657.51724137931035</v>
      </c>
      <c r="BD26" s="13">
        <f ca="1">julrepo[[#This Row],[Salary]]*julrepo[[#This Row],[Absent]]</f>
        <v>38136</v>
      </c>
      <c r="BE26" s="13">
        <f ca="1">julrepo[[#This Row],[Salary]]-julrepo[[#This Row],[Deduction]]</f>
        <v>-19068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9"/>
        <v>4</v>
      </c>
      <c r="K27" s="34" t="s">
        <v>42</v>
      </c>
      <c r="L27" s="34" t="s">
        <v>42</v>
      </c>
      <c r="M27" s="34" t="s">
        <v>42</v>
      </c>
      <c r="N27" s="34" t="s">
        <v>46</v>
      </c>
      <c r="O27" s="34" t="s">
        <v>44</v>
      </c>
      <c r="P27" s="34" t="s">
        <v>42</v>
      </c>
      <c r="Q27" s="34" t="s">
        <v>42</v>
      </c>
      <c r="R27" s="34" t="s">
        <v>42</v>
      </c>
      <c r="S27" s="34" t="s">
        <v>42</v>
      </c>
      <c r="T27" s="34" t="s">
        <v>42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42</v>
      </c>
      <c r="AH27" s="34" t="s">
        <v>42</v>
      </c>
      <c r="AI27" s="34" t="s">
        <v>46</v>
      </c>
      <c r="AJ27" s="34" t="s">
        <v>44</v>
      </c>
      <c r="AK27" s="34" t="s">
        <v>45</v>
      </c>
      <c r="AL27" s="34" t="s">
        <v>42</v>
      </c>
      <c r="AM27" s="34" t="s">
        <v>42</v>
      </c>
      <c r="AN27" s="34" t="s">
        <v>42</v>
      </c>
      <c r="AO27" s="28" t="s">
        <v>46</v>
      </c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Jul</v>
      </c>
      <c r="AV27" s="11">
        <f t="shared" si="3"/>
        <v>21</v>
      </c>
      <c r="AW27" s="11">
        <f t="shared" si="4"/>
        <v>1</v>
      </c>
      <c r="AX27" s="11">
        <f t="shared" si="5"/>
        <v>5</v>
      </c>
      <c r="AY27" s="11">
        <f t="shared" si="6"/>
        <v>4</v>
      </c>
      <c r="AZ27" s="13">
        <f t="shared" si="7"/>
        <v>31</v>
      </c>
      <c r="BA27" s="13">
        <f>(julrepo[[#This Row],[Days]]-julrepo[[#This Row],[Absent]])</f>
        <v>30</v>
      </c>
      <c r="BB27" s="11">
        <f t="shared" ca="1" si="8"/>
        <v>22300</v>
      </c>
      <c r="BC27" s="13">
        <f ca="1">(julrepo[[#This Row],[Salary]]/julrepo[[#This Row],[Paid Days]])</f>
        <v>743.33333333333337</v>
      </c>
      <c r="BD27" s="13">
        <f ca="1">julrepo[[#This Row],[Salary]]*julrepo[[#This Row],[Absent]]</f>
        <v>22300</v>
      </c>
      <c r="BE27" s="13">
        <f ca="1">julrepo[[#This Row],[Salary]]-julrepo[[#This Row],[Deduction]]</f>
        <v>0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9"/>
        <v>4</v>
      </c>
      <c r="K28" s="31" t="s">
        <v>42</v>
      </c>
      <c r="L28" s="34" t="s">
        <v>45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1" t="s">
        <v>42</v>
      </c>
      <c r="S28" s="31" t="s">
        <v>42</v>
      </c>
      <c r="T28" s="34" t="s">
        <v>45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1" t="s">
        <v>42</v>
      </c>
      <c r="AO28" s="32" t="s">
        <v>46</v>
      </c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Jul</v>
      </c>
      <c r="AV28" s="11">
        <f t="shared" si="3"/>
        <v>20</v>
      </c>
      <c r="AW28" s="11">
        <f t="shared" si="4"/>
        <v>2</v>
      </c>
      <c r="AX28" s="11">
        <f t="shared" si="5"/>
        <v>5</v>
      </c>
      <c r="AY28" s="11">
        <f t="shared" si="6"/>
        <v>4</v>
      </c>
      <c r="AZ28" s="13">
        <f t="shared" si="7"/>
        <v>31</v>
      </c>
      <c r="BA28" s="13">
        <f>(julrepo[[#This Row],[Days]]-julrepo[[#This Row],[Absent]])</f>
        <v>29</v>
      </c>
      <c r="BB28" s="11">
        <f t="shared" ca="1" si="8"/>
        <v>11446</v>
      </c>
      <c r="BC28" s="13">
        <f ca="1">(julrepo[[#This Row],[Salary]]/julrepo[[#This Row],[Paid Days]])</f>
        <v>394.68965517241378</v>
      </c>
      <c r="BD28" s="13">
        <f ca="1">julrepo[[#This Row],[Salary]]*julrepo[[#This Row],[Absent]]</f>
        <v>22892</v>
      </c>
      <c r="BE28" s="13">
        <f ca="1">julrepo[[#This Row],[Salary]]-julrepo[[#This Row],[Deduction]]</f>
        <v>-11446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mergeCells count="1">
    <mergeCell ref="G7:I7"/>
  </mergeCells>
  <conditionalFormatting sqref="K7:AO8 O10:O28 V10:V28 AC10:AC28 AJ10:AJ28">
    <cfRule type="containsText" dxfId="48" priority="34" operator="containsText" text="WO">
      <formula>NOT(ISERROR(SEARCH("WO",K7)))</formula>
    </cfRule>
  </conditionalFormatting>
  <conditionalFormatting sqref="K8:AO8 O10:O28 V10:V28 AC10:AC28 AJ10:AJ28">
    <cfRule type="containsText" dxfId="47" priority="32" operator="containsText" text="A">
      <formula>NOT(ISERROR(SEARCH("A",K8)))</formula>
    </cfRule>
    <cfRule type="containsText" dxfId="46" priority="33" operator="containsText" text="P">
      <formula>NOT(ISERROR(SEARCH("P",K8)))</formula>
    </cfRule>
  </conditionalFormatting>
  <conditionalFormatting sqref="K9:AO28">
    <cfRule type="containsText" dxfId="45" priority="1" operator="containsText" text="A">
      <formula>NOT(ISERROR(SEARCH("A",K9)))</formula>
    </cfRule>
    <cfRule type="containsText" dxfId="44" priority="2" operator="containsText" text="P">
      <formula>NOT(ISERROR(SEARCH("P",K9)))</formula>
    </cfRule>
    <cfRule type="containsText" dxfId="43" priority="3" operator="containsText" text="WO">
      <formula>NOT(ISERROR(SEARCH("WO",K9)))</formula>
    </cfRule>
  </conditionalFormatting>
  <conditionalFormatting sqref="O10:O28 V10:V28 AC10:AC28 AJ10:AJ28 K8:AO8">
    <cfRule type="containsText" dxfId="42" priority="31" operator="containsText" text="L">
      <formula>NOT(ISERROR(SEARCH("L",K8)))</formula>
    </cfRule>
  </conditionalFormatting>
  <conditionalFormatting sqref="AP9">
    <cfRule type="containsText" dxfId="41" priority="30" operator="containsText" text="WO">
      <formula>NOT(ISERROR(SEARCH("WO",AP9)))</formula>
    </cfRule>
  </conditionalFormatting>
  <dataValidations count="1">
    <dataValidation type="list" allowBlank="1" showInputMessage="1" showErrorMessage="1" sqref="K9:AO28" xr:uid="{F6D10BE2-2F6E-4F3C-8096-72AB311A47CF}">
      <formula1>"P,A,L,WO"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78DCB-B333-4F9B-9C01-0AE2FAEDDCE4}">
          <x14:formula1>
            <xm:f>Sheet3!$A$1:$A$12</xm:f>
          </x14:formula1>
          <xm:sqref>H4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5AE0-F52A-4157-9C36-A01304E5F624}">
  <sheetPr>
    <tabColor theme="0"/>
  </sheetPr>
  <dimension ref="D1:BG44"/>
  <sheetViews>
    <sheetView topLeftCell="AE1" zoomScale="90" zoomScaleNormal="90" workbookViewId="0">
      <selection activeCell="AQ16" sqref="AQ16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45870</v>
      </c>
      <c r="I4" s="19">
        <f>(DATEDIF($H$4,$L$4,"D")+1)</f>
        <v>31</v>
      </c>
      <c r="J4" s="17" t="str">
        <f>TEXT(H4,"mmm")</f>
        <v>Aug</v>
      </c>
      <c r="K4" s="17" t="s">
        <v>27</v>
      </c>
      <c r="L4" s="18">
        <f>EOMONTH(H4,0)</f>
        <v>45900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Fri</v>
      </c>
      <c r="L7" s="5" t="str">
        <f t="shared" ref="L7:AO7" si="0">TEXT(L8,"ddd")</f>
        <v>Sat</v>
      </c>
      <c r="M7" s="5" t="str">
        <f t="shared" si="0"/>
        <v>Sun</v>
      </c>
      <c r="N7" s="5" t="str">
        <f t="shared" si="0"/>
        <v>Mon</v>
      </c>
      <c r="O7" s="5" t="str">
        <f t="shared" si="0"/>
        <v>Tue</v>
      </c>
      <c r="P7" s="5" t="str">
        <f t="shared" si="0"/>
        <v>Wed</v>
      </c>
      <c r="Q7" s="5" t="str">
        <f t="shared" si="0"/>
        <v>Thu</v>
      </c>
      <c r="R7" s="5" t="str">
        <f t="shared" si="0"/>
        <v>Fri</v>
      </c>
      <c r="S7" s="5" t="str">
        <f t="shared" si="0"/>
        <v>Sat</v>
      </c>
      <c r="T7" s="5" t="str">
        <f t="shared" si="0"/>
        <v>Sun</v>
      </c>
      <c r="U7" s="5" t="str">
        <f t="shared" si="0"/>
        <v>Mon</v>
      </c>
      <c r="V7" s="5" t="str">
        <f t="shared" si="0"/>
        <v>Tue</v>
      </c>
      <c r="W7" s="5" t="str">
        <f t="shared" si="0"/>
        <v>Wed</v>
      </c>
      <c r="X7" s="5" t="str">
        <f t="shared" si="0"/>
        <v>Thu</v>
      </c>
      <c r="Y7" s="5" t="str">
        <f t="shared" si="0"/>
        <v>Fri</v>
      </c>
      <c r="Z7" s="5" t="str">
        <f t="shared" si="0"/>
        <v>Sat</v>
      </c>
      <c r="AA7" s="5" t="str">
        <f t="shared" si="0"/>
        <v>Sun</v>
      </c>
      <c r="AB7" s="5" t="str">
        <f t="shared" si="0"/>
        <v>Mon</v>
      </c>
      <c r="AC7" s="5" t="str">
        <f t="shared" si="0"/>
        <v>Tue</v>
      </c>
      <c r="AD7" s="5" t="str">
        <f t="shared" si="0"/>
        <v>Wed</v>
      </c>
      <c r="AE7" s="5" t="str">
        <f t="shared" si="0"/>
        <v>Thu</v>
      </c>
      <c r="AF7" s="5" t="str">
        <f t="shared" si="0"/>
        <v>Fri</v>
      </c>
      <c r="AG7" s="5" t="str">
        <f t="shared" si="0"/>
        <v>Sat</v>
      </c>
      <c r="AH7" s="5" t="str">
        <f t="shared" si="0"/>
        <v>Sun</v>
      </c>
      <c r="AI7" s="5" t="str">
        <f t="shared" si="0"/>
        <v>Mon</v>
      </c>
      <c r="AJ7" s="5" t="str">
        <f t="shared" si="0"/>
        <v>Tue</v>
      </c>
      <c r="AK7" s="5" t="str">
        <f t="shared" si="0"/>
        <v>Wed</v>
      </c>
      <c r="AL7" s="5" t="str">
        <f t="shared" si="0"/>
        <v>Thu</v>
      </c>
      <c r="AM7" s="5" t="str">
        <f t="shared" si="0"/>
        <v>Fri</v>
      </c>
      <c r="AN7" s="5" t="str">
        <f t="shared" si="0"/>
        <v>Sat</v>
      </c>
      <c r="AO7" s="6" t="str">
        <f t="shared" si="0"/>
        <v>Sun</v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45870</v>
      </c>
      <c r="L8" s="23">
        <f t="shared" ref="L8:AO8" si="1">IF(K8&lt;$L$4,K8+1,"")</f>
        <v>45871</v>
      </c>
      <c r="M8" s="23">
        <f t="shared" si="1"/>
        <v>45872</v>
      </c>
      <c r="N8" s="23">
        <f t="shared" si="1"/>
        <v>45873</v>
      </c>
      <c r="O8" s="23">
        <f t="shared" si="1"/>
        <v>45874</v>
      </c>
      <c r="P8" s="23">
        <f t="shared" si="1"/>
        <v>45875</v>
      </c>
      <c r="Q8" s="23">
        <f t="shared" si="1"/>
        <v>45876</v>
      </c>
      <c r="R8" s="23">
        <f t="shared" si="1"/>
        <v>45877</v>
      </c>
      <c r="S8" s="23">
        <f t="shared" si="1"/>
        <v>45878</v>
      </c>
      <c r="T8" s="23">
        <f t="shared" si="1"/>
        <v>45879</v>
      </c>
      <c r="U8" s="23">
        <f t="shared" si="1"/>
        <v>45880</v>
      </c>
      <c r="V8" s="23">
        <f t="shared" si="1"/>
        <v>45881</v>
      </c>
      <c r="W8" s="23">
        <f t="shared" si="1"/>
        <v>45882</v>
      </c>
      <c r="X8" s="23">
        <f t="shared" si="1"/>
        <v>45883</v>
      </c>
      <c r="Y8" s="23">
        <f t="shared" si="1"/>
        <v>45884</v>
      </c>
      <c r="Z8" s="23">
        <f t="shared" si="1"/>
        <v>45885</v>
      </c>
      <c r="AA8" s="23">
        <f t="shared" si="1"/>
        <v>45886</v>
      </c>
      <c r="AB8" s="23">
        <f t="shared" si="1"/>
        <v>45887</v>
      </c>
      <c r="AC8" s="23">
        <f t="shared" si="1"/>
        <v>45888</v>
      </c>
      <c r="AD8" s="23">
        <f t="shared" si="1"/>
        <v>45889</v>
      </c>
      <c r="AE8" s="23">
        <f t="shared" si="1"/>
        <v>45890</v>
      </c>
      <c r="AF8" s="23">
        <f t="shared" si="1"/>
        <v>45891</v>
      </c>
      <c r="AG8" s="23">
        <f t="shared" si="1"/>
        <v>45892</v>
      </c>
      <c r="AH8" s="23">
        <f t="shared" si="1"/>
        <v>45893</v>
      </c>
      <c r="AI8" s="23">
        <f t="shared" si="1"/>
        <v>45894</v>
      </c>
      <c r="AJ8" s="23">
        <f t="shared" si="1"/>
        <v>45895</v>
      </c>
      <c r="AK8" s="23">
        <f t="shared" si="1"/>
        <v>45896</v>
      </c>
      <c r="AL8" s="23">
        <f t="shared" si="1"/>
        <v>45897</v>
      </c>
      <c r="AM8" s="23">
        <f t="shared" si="1"/>
        <v>45898</v>
      </c>
      <c r="AN8" s="23">
        <f t="shared" si="1"/>
        <v>45899</v>
      </c>
      <c r="AO8" s="24">
        <f t="shared" si="1"/>
        <v>45900</v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5</v>
      </c>
      <c r="K9" s="34" t="s">
        <v>45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42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42</v>
      </c>
      <c r="AO9" s="28" t="s">
        <v>46</v>
      </c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Aug</v>
      </c>
      <c r="AV9" s="11">
        <f t="shared" ref="AV9:AV28" si="3">COUNTIF($K9:$AO9,"P")</f>
        <v>21</v>
      </c>
      <c r="AW9" s="11">
        <f t="shared" ref="AW9:AW28" si="4">COUNTIF($K9:$AO9,"A")</f>
        <v>1</v>
      </c>
      <c r="AX9" s="11">
        <f t="shared" ref="AX9:AX28" si="5">COUNTIF($K9:$AO9,"L")</f>
        <v>5</v>
      </c>
      <c r="AY9" s="11">
        <f t="shared" ref="AY9:AY28" si="6">$J$9</f>
        <v>5</v>
      </c>
      <c r="AZ9" s="13">
        <f t="shared" ref="AZ9:AZ28" si="7">$I$4</f>
        <v>31</v>
      </c>
      <c r="BA9" s="13">
        <f>(augrepo[[#This Row],[Days]]-augrepo[[#This Row],[Absent]])</f>
        <v>30</v>
      </c>
      <c r="BB9" s="11">
        <f t="shared" ref="BB9:BB28" ca="1" si="8">RANDBETWEEN(10000,25000)</f>
        <v>12143</v>
      </c>
      <c r="BC9" s="13">
        <f ca="1">(augrepo[[#This Row],[Salary]]/augrepo[[#This Row],[Paid Days]])</f>
        <v>404.76666666666665</v>
      </c>
      <c r="BD9" s="13">
        <f ca="1">augrepo[[#This Row],[Salary]]*augrepo[[#This Row],[Absent]]</f>
        <v>12143</v>
      </c>
      <c r="BE9" s="13">
        <f ca="1">augrepo[[#This Row],[Salary]]-augrepo[[#This Row],[Deduction]]</f>
        <v>0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9">COUNTIF($K$7:$AO$7,"Sun")</f>
        <v>5</v>
      </c>
      <c r="K10" s="34" t="s">
        <v>42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42</v>
      </c>
      <c r="Q10" s="34" t="s">
        <v>42</v>
      </c>
      <c r="R10" s="34" t="s">
        <v>42</v>
      </c>
      <c r="S10" s="34" t="s">
        <v>42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42</v>
      </c>
      <c r="AN10" s="34" t="s">
        <v>42</v>
      </c>
      <c r="AO10" s="28" t="s">
        <v>46</v>
      </c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Aug</v>
      </c>
      <c r="AV10" s="11">
        <f t="shared" si="3"/>
        <v>22</v>
      </c>
      <c r="AW10" s="11">
        <f t="shared" si="4"/>
        <v>0</v>
      </c>
      <c r="AX10" s="11">
        <f t="shared" si="5"/>
        <v>5</v>
      </c>
      <c r="AY10" s="11">
        <f t="shared" si="6"/>
        <v>5</v>
      </c>
      <c r="AZ10" s="13">
        <f t="shared" si="7"/>
        <v>31</v>
      </c>
      <c r="BA10" s="13">
        <f>(augrepo[[#This Row],[Days]]-augrepo[[#This Row],[Absent]])</f>
        <v>31</v>
      </c>
      <c r="BB10" s="11">
        <f t="shared" ca="1" si="8"/>
        <v>12106</v>
      </c>
      <c r="BC10" s="13">
        <f ca="1">(augrepo[[#This Row],[Salary]]/augrepo[[#This Row],[Paid Days]])</f>
        <v>390.51612903225805</v>
      </c>
      <c r="BD10" s="13">
        <f ca="1">augrepo[[#This Row],[Salary]]*augrepo[[#This Row],[Absent]]</f>
        <v>0</v>
      </c>
      <c r="BE10" s="13">
        <f ca="1">augrepo[[#This Row],[Salary]]-augrepo[[#This Row],[Deduction]]</f>
        <v>12106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9"/>
        <v>5</v>
      </c>
      <c r="K11" s="34" t="s">
        <v>42</v>
      </c>
      <c r="L11" s="34" t="s">
        <v>42</v>
      </c>
      <c r="M11" s="34" t="s">
        <v>42</v>
      </c>
      <c r="N11" s="34" t="s">
        <v>46</v>
      </c>
      <c r="O11" s="34" t="s">
        <v>44</v>
      </c>
      <c r="P11" s="34" t="s">
        <v>42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45</v>
      </c>
      <c r="X11" s="34" t="s">
        <v>42</v>
      </c>
      <c r="Y11" s="34" t="s">
        <v>42</v>
      </c>
      <c r="Z11" s="34" t="s">
        <v>42</v>
      </c>
      <c r="AA11" s="34" t="s">
        <v>42</v>
      </c>
      <c r="AB11" s="34" t="s">
        <v>46</v>
      </c>
      <c r="AC11" s="34" t="s">
        <v>44</v>
      </c>
      <c r="AD11" s="34" t="s">
        <v>42</v>
      </c>
      <c r="AE11" s="34" t="s">
        <v>42</v>
      </c>
      <c r="AF11" s="34" t="s">
        <v>42</v>
      </c>
      <c r="AG11" s="34" t="s">
        <v>42</v>
      </c>
      <c r="AH11" s="34" t="s">
        <v>42</v>
      </c>
      <c r="AI11" s="34" t="s">
        <v>46</v>
      </c>
      <c r="AJ11" s="34" t="s">
        <v>44</v>
      </c>
      <c r="AK11" s="34" t="s">
        <v>42</v>
      </c>
      <c r="AL11" s="34" t="s">
        <v>42</v>
      </c>
      <c r="AM11" s="34" t="s">
        <v>42</v>
      </c>
      <c r="AN11" s="34" t="s">
        <v>42</v>
      </c>
      <c r="AO11" s="28" t="s">
        <v>46</v>
      </c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Aug</v>
      </c>
      <c r="AV11" s="11">
        <f t="shared" si="3"/>
        <v>21</v>
      </c>
      <c r="AW11" s="11">
        <f t="shared" si="4"/>
        <v>1</v>
      </c>
      <c r="AX11" s="11">
        <f t="shared" si="5"/>
        <v>5</v>
      </c>
      <c r="AY11" s="11">
        <f t="shared" si="6"/>
        <v>5</v>
      </c>
      <c r="AZ11" s="13">
        <f t="shared" si="7"/>
        <v>31</v>
      </c>
      <c r="BA11" s="13">
        <f>(augrepo[[#This Row],[Days]]-augrepo[[#This Row],[Absent]])</f>
        <v>30</v>
      </c>
      <c r="BB11" s="11">
        <f t="shared" ca="1" si="8"/>
        <v>11364</v>
      </c>
      <c r="BC11" s="13">
        <f ca="1">(augrepo[[#This Row],[Salary]]/augrepo[[#This Row],[Paid Days]])</f>
        <v>378.8</v>
      </c>
      <c r="BD11" s="13">
        <f ca="1">augrepo[[#This Row],[Salary]]*augrepo[[#This Row],[Absent]]</f>
        <v>11364</v>
      </c>
      <c r="BE11" s="13">
        <f ca="1">augrepo[[#This Row],[Salary]]-augrepo[[#This Row],[Deduction]]</f>
        <v>0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9"/>
        <v>5</v>
      </c>
      <c r="K12" s="34" t="s">
        <v>42</v>
      </c>
      <c r="L12" s="34" t="s">
        <v>45</v>
      </c>
      <c r="M12" s="34" t="s">
        <v>42</v>
      </c>
      <c r="N12" s="34" t="s">
        <v>46</v>
      </c>
      <c r="O12" s="34" t="s">
        <v>44</v>
      </c>
      <c r="P12" s="34" t="s">
        <v>42</v>
      </c>
      <c r="Q12" s="34" t="s">
        <v>42</v>
      </c>
      <c r="R12" s="34" t="s">
        <v>42</v>
      </c>
      <c r="S12" s="34" t="s">
        <v>42</v>
      </c>
      <c r="T12" s="34" t="s">
        <v>42</v>
      </c>
      <c r="U12" s="34" t="s">
        <v>46</v>
      </c>
      <c r="V12" s="34" t="s">
        <v>44</v>
      </c>
      <c r="W12" s="34" t="s">
        <v>42</v>
      </c>
      <c r="X12" s="34" t="s">
        <v>42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42</v>
      </c>
      <c r="AE12" s="34" t="s">
        <v>42</v>
      </c>
      <c r="AF12" s="34" t="s">
        <v>42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45</v>
      </c>
      <c r="AL12" s="34" t="s">
        <v>42</v>
      </c>
      <c r="AM12" s="34" t="s">
        <v>42</v>
      </c>
      <c r="AN12" s="34" t="s">
        <v>42</v>
      </c>
      <c r="AO12" s="28" t="s">
        <v>46</v>
      </c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Aug</v>
      </c>
      <c r="AV12" s="11">
        <f t="shared" si="3"/>
        <v>20</v>
      </c>
      <c r="AW12" s="11">
        <f t="shared" si="4"/>
        <v>2</v>
      </c>
      <c r="AX12" s="11">
        <f t="shared" si="5"/>
        <v>5</v>
      </c>
      <c r="AY12" s="11">
        <f t="shared" si="6"/>
        <v>5</v>
      </c>
      <c r="AZ12" s="13">
        <f t="shared" si="7"/>
        <v>31</v>
      </c>
      <c r="BA12" s="13">
        <f>(augrepo[[#This Row],[Days]]-augrepo[[#This Row],[Absent]])</f>
        <v>29</v>
      </c>
      <c r="BB12" s="11">
        <f t="shared" ca="1" si="8"/>
        <v>22984</v>
      </c>
      <c r="BC12" s="13">
        <f ca="1">(augrepo[[#This Row],[Salary]]/augrepo[[#This Row],[Paid Days]])</f>
        <v>792.55172413793105</v>
      </c>
      <c r="BD12" s="13">
        <f ca="1">augrepo[[#This Row],[Salary]]*augrepo[[#This Row],[Absent]]</f>
        <v>45968</v>
      </c>
      <c r="BE12" s="13">
        <f ca="1">augrepo[[#This Row],[Salary]]-augrepo[[#This Row],[Deduction]]</f>
        <v>-22984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9"/>
        <v>5</v>
      </c>
      <c r="K13" s="34" t="s">
        <v>42</v>
      </c>
      <c r="L13" s="34" t="s">
        <v>42</v>
      </c>
      <c r="M13" s="34" t="s">
        <v>42</v>
      </c>
      <c r="N13" s="34" t="s">
        <v>46</v>
      </c>
      <c r="O13" s="34" t="s">
        <v>44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45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42</v>
      </c>
      <c r="AN13" s="34" t="s">
        <v>42</v>
      </c>
      <c r="AO13" s="28" t="s">
        <v>46</v>
      </c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Aug</v>
      </c>
      <c r="AV13" s="11">
        <f t="shared" si="3"/>
        <v>21</v>
      </c>
      <c r="AW13" s="11">
        <f t="shared" si="4"/>
        <v>1</v>
      </c>
      <c r="AX13" s="11">
        <f t="shared" si="5"/>
        <v>5</v>
      </c>
      <c r="AY13" s="11">
        <f t="shared" si="6"/>
        <v>5</v>
      </c>
      <c r="AZ13" s="13">
        <f t="shared" si="7"/>
        <v>31</v>
      </c>
      <c r="BA13" s="13">
        <f>(augrepo[[#This Row],[Days]]-augrepo[[#This Row],[Absent]])</f>
        <v>30</v>
      </c>
      <c r="BB13" s="11">
        <f t="shared" ca="1" si="8"/>
        <v>13340</v>
      </c>
      <c r="BC13" s="13">
        <f ca="1">(augrepo[[#This Row],[Salary]]/augrepo[[#This Row],[Paid Days]])</f>
        <v>444.66666666666669</v>
      </c>
      <c r="BD13" s="13">
        <f ca="1">augrepo[[#This Row],[Salary]]*augrepo[[#This Row],[Absent]]</f>
        <v>13340</v>
      </c>
      <c r="BE13" s="13">
        <f ca="1">augrepo[[#This Row],[Salary]]-augrepo[[#This Row],[Deduction]]</f>
        <v>0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9"/>
        <v>5</v>
      </c>
      <c r="K14" s="34" t="s">
        <v>42</v>
      </c>
      <c r="L14" s="34" t="s">
        <v>42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45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42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42</v>
      </c>
      <c r="AL14" s="34" t="s">
        <v>42</v>
      </c>
      <c r="AM14" s="34" t="s">
        <v>42</v>
      </c>
      <c r="AN14" s="34" t="s">
        <v>42</v>
      </c>
      <c r="AO14" s="28" t="s">
        <v>46</v>
      </c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Aug</v>
      </c>
      <c r="AV14" s="11">
        <f t="shared" si="3"/>
        <v>21</v>
      </c>
      <c r="AW14" s="11">
        <f t="shared" si="4"/>
        <v>1</v>
      </c>
      <c r="AX14" s="11">
        <f t="shared" si="5"/>
        <v>5</v>
      </c>
      <c r="AY14" s="11">
        <f t="shared" si="6"/>
        <v>5</v>
      </c>
      <c r="AZ14" s="13">
        <f t="shared" si="7"/>
        <v>31</v>
      </c>
      <c r="BA14" s="13">
        <f>(augrepo[[#This Row],[Days]]-augrepo[[#This Row],[Absent]])</f>
        <v>30</v>
      </c>
      <c r="BB14" s="11">
        <f t="shared" ca="1" si="8"/>
        <v>23370</v>
      </c>
      <c r="BC14" s="13">
        <f ca="1">(augrepo[[#This Row],[Salary]]/augrepo[[#This Row],[Paid Days]])</f>
        <v>779</v>
      </c>
      <c r="BD14" s="13">
        <f ca="1">augrepo[[#This Row],[Salary]]*augrepo[[#This Row],[Absent]]</f>
        <v>23370</v>
      </c>
      <c r="BE14" s="13">
        <f ca="1">augrepo[[#This Row],[Salary]]-augrepo[[#This Row],[Deduction]]</f>
        <v>0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9"/>
        <v>5</v>
      </c>
      <c r="K15" s="34" t="s">
        <v>42</v>
      </c>
      <c r="L15" s="34" t="s">
        <v>42</v>
      </c>
      <c r="M15" s="34" t="s">
        <v>42</v>
      </c>
      <c r="N15" s="34" t="s">
        <v>46</v>
      </c>
      <c r="O15" s="34" t="s">
        <v>44</v>
      </c>
      <c r="P15" s="34" t="s">
        <v>42</v>
      </c>
      <c r="Q15" s="34" t="s">
        <v>42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42</v>
      </c>
      <c r="Y15" s="34" t="s">
        <v>42</v>
      </c>
      <c r="Z15" s="34" t="s">
        <v>42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42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42</v>
      </c>
      <c r="AL15" s="34" t="s">
        <v>42</v>
      </c>
      <c r="AM15" s="34" t="s">
        <v>42</v>
      </c>
      <c r="AN15" s="34" t="s">
        <v>42</v>
      </c>
      <c r="AO15" s="28" t="s">
        <v>46</v>
      </c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Aug</v>
      </c>
      <c r="AV15" s="11">
        <f t="shared" si="3"/>
        <v>22</v>
      </c>
      <c r="AW15" s="11">
        <f t="shared" si="4"/>
        <v>0</v>
      </c>
      <c r="AX15" s="11">
        <f t="shared" si="5"/>
        <v>5</v>
      </c>
      <c r="AY15" s="11">
        <f t="shared" si="6"/>
        <v>5</v>
      </c>
      <c r="AZ15" s="13">
        <f t="shared" si="7"/>
        <v>31</v>
      </c>
      <c r="BA15" s="13">
        <f>(augrepo[[#This Row],[Days]]-augrepo[[#This Row],[Absent]])</f>
        <v>31</v>
      </c>
      <c r="BB15" s="11">
        <f t="shared" ca="1" si="8"/>
        <v>10490</v>
      </c>
      <c r="BC15" s="13">
        <f ca="1">(augrepo[[#This Row],[Salary]]/augrepo[[#This Row],[Paid Days]])</f>
        <v>338.38709677419354</v>
      </c>
      <c r="BD15" s="13">
        <f ca="1">augrepo[[#This Row],[Salary]]*augrepo[[#This Row],[Absent]]</f>
        <v>0</v>
      </c>
      <c r="BE15" s="13">
        <f ca="1">augrepo[[#This Row],[Salary]]-augrepo[[#This Row],[Deduction]]</f>
        <v>10490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9"/>
        <v>5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42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42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45</v>
      </c>
      <c r="AO16" s="28" t="s">
        <v>46</v>
      </c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Aug</v>
      </c>
      <c r="AV16" s="11">
        <f t="shared" si="3"/>
        <v>21</v>
      </c>
      <c r="AW16" s="11">
        <f t="shared" si="4"/>
        <v>1</v>
      </c>
      <c r="AX16" s="11">
        <f t="shared" si="5"/>
        <v>5</v>
      </c>
      <c r="AY16" s="11">
        <f t="shared" si="6"/>
        <v>5</v>
      </c>
      <c r="AZ16" s="13">
        <f t="shared" si="7"/>
        <v>31</v>
      </c>
      <c r="BA16" s="13">
        <f>(augrepo[[#This Row],[Days]]-augrepo[[#This Row],[Absent]])</f>
        <v>30</v>
      </c>
      <c r="BB16" s="11">
        <f t="shared" ca="1" si="8"/>
        <v>22849</v>
      </c>
      <c r="BC16" s="13">
        <f ca="1">(augrepo[[#This Row],[Salary]]/augrepo[[#This Row],[Paid Days]])</f>
        <v>761.63333333333333</v>
      </c>
      <c r="BD16" s="13">
        <f ca="1">augrepo[[#This Row],[Salary]]*augrepo[[#This Row],[Absent]]</f>
        <v>22849</v>
      </c>
      <c r="BE16" s="13">
        <f ca="1">augrepo[[#This Row],[Salary]]-augrepo[[#This Row],[Deduction]]</f>
        <v>0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9"/>
        <v>5</v>
      </c>
      <c r="K17" s="34" t="s">
        <v>42</v>
      </c>
      <c r="L17" s="34" t="s">
        <v>42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42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42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42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42</v>
      </c>
      <c r="AO17" s="28" t="s">
        <v>46</v>
      </c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Aug</v>
      </c>
      <c r="AV17" s="11">
        <f t="shared" si="3"/>
        <v>22</v>
      </c>
      <c r="AW17" s="11">
        <f t="shared" si="4"/>
        <v>0</v>
      </c>
      <c r="AX17" s="11">
        <f t="shared" si="5"/>
        <v>5</v>
      </c>
      <c r="AY17" s="11">
        <f t="shared" si="6"/>
        <v>5</v>
      </c>
      <c r="AZ17" s="13">
        <f t="shared" si="7"/>
        <v>31</v>
      </c>
      <c r="BA17" s="13">
        <f>(augrepo[[#This Row],[Days]]-augrepo[[#This Row],[Absent]])</f>
        <v>31</v>
      </c>
      <c r="BB17" s="11">
        <f t="shared" ca="1" si="8"/>
        <v>18384</v>
      </c>
      <c r="BC17" s="13">
        <f ca="1">(augrepo[[#This Row],[Salary]]/augrepo[[#This Row],[Paid Days]])</f>
        <v>593.0322580645161</v>
      </c>
      <c r="BD17" s="13">
        <f ca="1">augrepo[[#This Row],[Salary]]*augrepo[[#This Row],[Absent]]</f>
        <v>0</v>
      </c>
      <c r="BE17" s="13">
        <f ca="1">augrepo[[#This Row],[Salary]]-augrepo[[#This Row],[Deduction]]</f>
        <v>18384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9"/>
        <v>5</v>
      </c>
      <c r="K18" s="34" t="s">
        <v>42</v>
      </c>
      <c r="L18" s="34" t="s">
        <v>42</v>
      </c>
      <c r="M18" s="34" t="s">
        <v>42</v>
      </c>
      <c r="N18" s="34" t="s">
        <v>46</v>
      </c>
      <c r="O18" s="34" t="s">
        <v>44</v>
      </c>
      <c r="P18" s="34" t="s">
        <v>45</v>
      </c>
      <c r="Q18" s="34" t="s">
        <v>42</v>
      </c>
      <c r="R18" s="34" t="s">
        <v>42</v>
      </c>
      <c r="S18" s="34" t="s">
        <v>42</v>
      </c>
      <c r="T18" s="34" t="s">
        <v>42</v>
      </c>
      <c r="U18" s="34" t="s">
        <v>46</v>
      </c>
      <c r="V18" s="34" t="s">
        <v>44</v>
      </c>
      <c r="W18" s="34" t="s">
        <v>42</v>
      </c>
      <c r="X18" s="34" t="s">
        <v>42</v>
      </c>
      <c r="Y18" s="34" t="s">
        <v>45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42</v>
      </c>
      <c r="AF18" s="34" t="s">
        <v>42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42</v>
      </c>
      <c r="AO18" s="28" t="s">
        <v>46</v>
      </c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Aug</v>
      </c>
      <c r="AV18" s="11">
        <f t="shared" si="3"/>
        <v>20</v>
      </c>
      <c r="AW18" s="11">
        <f t="shared" si="4"/>
        <v>2</v>
      </c>
      <c r="AX18" s="11">
        <f t="shared" si="5"/>
        <v>5</v>
      </c>
      <c r="AY18" s="11">
        <f t="shared" si="6"/>
        <v>5</v>
      </c>
      <c r="AZ18" s="13">
        <f t="shared" si="7"/>
        <v>31</v>
      </c>
      <c r="BA18" s="13">
        <f>(augrepo[[#This Row],[Days]]-augrepo[[#This Row],[Absent]])</f>
        <v>29</v>
      </c>
      <c r="BB18" s="11">
        <f t="shared" ca="1" si="8"/>
        <v>23019</v>
      </c>
      <c r="BC18" s="13">
        <f ca="1">(augrepo[[#This Row],[Salary]]/augrepo[[#This Row],[Paid Days]])</f>
        <v>793.75862068965512</v>
      </c>
      <c r="BD18" s="13">
        <f ca="1">augrepo[[#This Row],[Salary]]*augrepo[[#This Row],[Absent]]</f>
        <v>46038</v>
      </c>
      <c r="BE18" s="13">
        <f ca="1">augrepo[[#This Row],[Salary]]-augrepo[[#This Row],[Deduction]]</f>
        <v>-23019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9"/>
        <v>5</v>
      </c>
      <c r="K19" s="34" t="s">
        <v>42</v>
      </c>
      <c r="L19" s="34" t="s">
        <v>42</v>
      </c>
      <c r="M19" s="34" t="s">
        <v>42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45</v>
      </c>
      <c r="T19" s="34" t="s">
        <v>42</v>
      </c>
      <c r="U19" s="34" t="s">
        <v>46</v>
      </c>
      <c r="V19" s="34" t="s">
        <v>44</v>
      </c>
      <c r="W19" s="34" t="s">
        <v>42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42</v>
      </c>
      <c r="AN19" s="34" t="s">
        <v>42</v>
      </c>
      <c r="AO19" s="28" t="s">
        <v>46</v>
      </c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Aug</v>
      </c>
      <c r="AV19" s="11">
        <f t="shared" si="3"/>
        <v>21</v>
      </c>
      <c r="AW19" s="11">
        <f t="shared" si="4"/>
        <v>1</v>
      </c>
      <c r="AX19" s="11">
        <f t="shared" si="5"/>
        <v>5</v>
      </c>
      <c r="AY19" s="11">
        <f t="shared" si="6"/>
        <v>5</v>
      </c>
      <c r="AZ19" s="13">
        <f t="shared" si="7"/>
        <v>31</v>
      </c>
      <c r="BA19" s="13">
        <f>(augrepo[[#This Row],[Days]]-augrepo[[#This Row],[Absent]])</f>
        <v>30</v>
      </c>
      <c r="BB19" s="11">
        <f t="shared" ca="1" si="8"/>
        <v>24151</v>
      </c>
      <c r="BC19" s="13">
        <f ca="1">(augrepo[[#This Row],[Salary]]/augrepo[[#This Row],[Paid Days]])</f>
        <v>805.0333333333333</v>
      </c>
      <c r="BD19" s="13">
        <f ca="1">augrepo[[#This Row],[Salary]]*augrepo[[#This Row],[Absent]]</f>
        <v>24151</v>
      </c>
      <c r="BE19" s="13">
        <f ca="1">augrepo[[#This Row],[Salary]]-augrepo[[#This Row],[Deduction]]</f>
        <v>0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9"/>
        <v>5</v>
      </c>
      <c r="K20" s="34" t="s">
        <v>42</v>
      </c>
      <c r="L20" s="34" t="s">
        <v>42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42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42</v>
      </c>
      <c r="X20" s="34" t="s">
        <v>42</v>
      </c>
      <c r="Y20" s="34" t="s">
        <v>42</v>
      </c>
      <c r="Z20" s="34" t="s">
        <v>42</v>
      </c>
      <c r="AA20" s="34" t="s">
        <v>42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45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42</v>
      </c>
      <c r="AN20" s="34" t="s">
        <v>42</v>
      </c>
      <c r="AO20" s="28" t="s">
        <v>46</v>
      </c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Aug</v>
      </c>
      <c r="AV20" s="11">
        <f t="shared" si="3"/>
        <v>21</v>
      </c>
      <c r="AW20" s="11">
        <f t="shared" si="4"/>
        <v>1</v>
      </c>
      <c r="AX20" s="11">
        <f t="shared" si="5"/>
        <v>5</v>
      </c>
      <c r="AY20" s="11">
        <f t="shared" si="6"/>
        <v>5</v>
      </c>
      <c r="AZ20" s="13">
        <f t="shared" si="7"/>
        <v>31</v>
      </c>
      <c r="BA20" s="13">
        <f>(augrepo[[#This Row],[Days]]-augrepo[[#This Row],[Absent]])</f>
        <v>30</v>
      </c>
      <c r="BB20" s="11">
        <f t="shared" ca="1" si="8"/>
        <v>17939</v>
      </c>
      <c r="BC20" s="13">
        <f ca="1">(augrepo[[#This Row],[Salary]]/augrepo[[#This Row],[Paid Days]])</f>
        <v>597.9666666666667</v>
      </c>
      <c r="BD20" s="13">
        <f ca="1">augrepo[[#This Row],[Salary]]*augrepo[[#This Row],[Absent]]</f>
        <v>17939</v>
      </c>
      <c r="BE20" s="13">
        <f ca="1">augrepo[[#This Row],[Salary]]-augrepo[[#This Row],[Deduction]]</f>
        <v>0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9"/>
        <v>5</v>
      </c>
      <c r="K21" s="34" t="s">
        <v>42</v>
      </c>
      <c r="L21" s="34" t="s">
        <v>45</v>
      </c>
      <c r="M21" s="34" t="s">
        <v>42</v>
      </c>
      <c r="N21" s="34" t="s">
        <v>46</v>
      </c>
      <c r="O21" s="34" t="s">
        <v>44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42</v>
      </c>
      <c r="U21" s="34" t="s">
        <v>46</v>
      </c>
      <c r="V21" s="34" t="s">
        <v>44</v>
      </c>
      <c r="W21" s="34" t="s">
        <v>42</v>
      </c>
      <c r="X21" s="34" t="s">
        <v>42</v>
      </c>
      <c r="Y21" s="34" t="s">
        <v>42</v>
      </c>
      <c r="Z21" s="34" t="s">
        <v>45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45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42</v>
      </c>
      <c r="AO21" s="28" t="s">
        <v>46</v>
      </c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Aug</v>
      </c>
      <c r="AV21" s="11">
        <f t="shared" si="3"/>
        <v>19</v>
      </c>
      <c r="AW21" s="11">
        <f t="shared" si="4"/>
        <v>3</v>
      </c>
      <c r="AX21" s="11">
        <f t="shared" si="5"/>
        <v>5</v>
      </c>
      <c r="AY21" s="11">
        <f t="shared" si="6"/>
        <v>5</v>
      </c>
      <c r="AZ21" s="13">
        <f t="shared" si="7"/>
        <v>31</v>
      </c>
      <c r="BA21" s="13">
        <f>(augrepo[[#This Row],[Days]]-augrepo[[#This Row],[Absent]])</f>
        <v>28</v>
      </c>
      <c r="BB21" s="11">
        <f t="shared" ca="1" si="8"/>
        <v>14135</v>
      </c>
      <c r="BC21" s="13">
        <f ca="1">(augrepo[[#This Row],[Salary]]/augrepo[[#This Row],[Paid Days]])</f>
        <v>504.82142857142856</v>
      </c>
      <c r="BD21" s="13">
        <f ca="1">augrepo[[#This Row],[Salary]]*augrepo[[#This Row],[Absent]]</f>
        <v>42405</v>
      </c>
      <c r="BE21" s="13">
        <f ca="1">augrepo[[#This Row],[Salary]]-augrepo[[#This Row],[Deduction]]</f>
        <v>-28270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9"/>
        <v>5</v>
      </c>
      <c r="K22" s="34" t="s">
        <v>45</v>
      </c>
      <c r="L22" s="34" t="s">
        <v>42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42</v>
      </c>
      <c r="AL22" s="34" t="s">
        <v>42</v>
      </c>
      <c r="AM22" s="34" t="s">
        <v>42</v>
      </c>
      <c r="AN22" s="34" t="s">
        <v>42</v>
      </c>
      <c r="AO22" s="28" t="s">
        <v>46</v>
      </c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Aug</v>
      </c>
      <c r="AV22" s="11">
        <f t="shared" si="3"/>
        <v>21</v>
      </c>
      <c r="AW22" s="11">
        <f t="shared" si="4"/>
        <v>1</v>
      </c>
      <c r="AX22" s="11">
        <f t="shared" si="5"/>
        <v>5</v>
      </c>
      <c r="AY22" s="11">
        <f t="shared" si="6"/>
        <v>5</v>
      </c>
      <c r="AZ22" s="13">
        <f t="shared" si="7"/>
        <v>31</v>
      </c>
      <c r="BA22" s="13">
        <f>(augrepo[[#This Row],[Days]]-augrepo[[#This Row],[Absent]])</f>
        <v>30</v>
      </c>
      <c r="BB22" s="11">
        <f t="shared" ca="1" si="8"/>
        <v>24517</v>
      </c>
      <c r="BC22" s="13">
        <f ca="1">(augrepo[[#This Row],[Salary]]/augrepo[[#This Row],[Paid Days]])</f>
        <v>817.23333333333335</v>
      </c>
      <c r="BD22" s="13">
        <f ca="1">augrepo[[#This Row],[Salary]]*augrepo[[#This Row],[Absent]]</f>
        <v>24517</v>
      </c>
      <c r="BE22" s="13">
        <f ca="1">augrepo[[#This Row],[Salary]]-augrepo[[#This Row],[Deduction]]</f>
        <v>0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9"/>
        <v>5</v>
      </c>
      <c r="K23" s="34" t="s">
        <v>42</v>
      </c>
      <c r="L23" s="34" t="s">
        <v>42</v>
      </c>
      <c r="M23" s="34" t="s">
        <v>42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42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42</v>
      </c>
      <c r="AL23" s="34" t="s">
        <v>42</v>
      </c>
      <c r="AM23" s="34" t="s">
        <v>45</v>
      </c>
      <c r="AN23" s="34" t="s">
        <v>42</v>
      </c>
      <c r="AO23" s="28" t="s">
        <v>46</v>
      </c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Aug</v>
      </c>
      <c r="AV23" s="11">
        <f t="shared" si="3"/>
        <v>21</v>
      </c>
      <c r="AW23" s="11">
        <f t="shared" si="4"/>
        <v>1</v>
      </c>
      <c r="AX23" s="11">
        <f t="shared" si="5"/>
        <v>5</v>
      </c>
      <c r="AY23" s="11">
        <f t="shared" si="6"/>
        <v>5</v>
      </c>
      <c r="AZ23" s="13">
        <f t="shared" si="7"/>
        <v>31</v>
      </c>
      <c r="BA23" s="13">
        <f>(augrepo[[#This Row],[Days]]-augrepo[[#This Row],[Absent]])</f>
        <v>30</v>
      </c>
      <c r="BB23" s="11">
        <f t="shared" ca="1" si="8"/>
        <v>17941</v>
      </c>
      <c r="BC23" s="13">
        <f ca="1">(augrepo[[#This Row],[Salary]]/augrepo[[#This Row],[Paid Days]])</f>
        <v>598.0333333333333</v>
      </c>
      <c r="BD23" s="13">
        <f ca="1">augrepo[[#This Row],[Salary]]*augrepo[[#This Row],[Absent]]</f>
        <v>17941</v>
      </c>
      <c r="BE23" s="13">
        <f ca="1">augrepo[[#This Row],[Salary]]-augrepo[[#This Row],[Deduction]]</f>
        <v>0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9"/>
        <v>5</v>
      </c>
      <c r="K24" s="34" t="s">
        <v>42</v>
      </c>
      <c r="L24" s="34" t="s">
        <v>42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42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42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42</v>
      </c>
      <c r="AN24" s="34" t="s">
        <v>42</v>
      </c>
      <c r="AO24" s="28" t="s">
        <v>46</v>
      </c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Aug</v>
      </c>
      <c r="AV24" s="11">
        <f t="shared" si="3"/>
        <v>22</v>
      </c>
      <c r="AW24" s="11">
        <f t="shared" si="4"/>
        <v>0</v>
      </c>
      <c r="AX24" s="11">
        <f t="shared" si="5"/>
        <v>5</v>
      </c>
      <c r="AY24" s="11">
        <f t="shared" si="6"/>
        <v>5</v>
      </c>
      <c r="AZ24" s="13">
        <f t="shared" si="7"/>
        <v>31</v>
      </c>
      <c r="BA24" s="13">
        <f>(augrepo[[#This Row],[Days]]-augrepo[[#This Row],[Absent]])</f>
        <v>31</v>
      </c>
      <c r="BB24" s="11">
        <f t="shared" ca="1" si="8"/>
        <v>24416</v>
      </c>
      <c r="BC24" s="13">
        <f ca="1">(augrepo[[#This Row],[Salary]]/augrepo[[#This Row],[Paid Days]])</f>
        <v>787.61290322580646</v>
      </c>
      <c r="BD24" s="13">
        <f ca="1">augrepo[[#This Row],[Salary]]*augrepo[[#This Row],[Absent]]</f>
        <v>0</v>
      </c>
      <c r="BE24" s="13">
        <f ca="1">augrepo[[#This Row],[Salary]]-augrepo[[#This Row],[Deduction]]</f>
        <v>24416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9"/>
        <v>5</v>
      </c>
      <c r="K25" s="34" t="s">
        <v>42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42</v>
      </c>
      <c r="Q25" s="34" t="s">
        <v>45</v>
      </c>
      <c r="R25" s="34" t="s">
        <v>42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45</v>
      </c>
      <c r="Z25" s="34" t="s">
        <v>42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42</v>
      </c>
      <c r="AG25" s="34" t="s">
        <v>45</v>
      </c>
      <c r="AH25" s="34" t="s">
        <v>42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42</v>
      </c>
      <c r="AO25" s="28" t="s">
        <v>46</v>
      </c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Aug</v>
      </c>
      <c r="AV25" s="11">
        <f t="shared" si="3"/>
        <v>19</v>
      </c>
      <c r="AW25" s="11">
        <f t="shared" si="4"/>
        <v>3</v>
      </c>
      <c r="AX25" s="11">
        <f t="shared" si="5"/>
        <v>5</v>
      </c>
      <c r="AY25" s="11">
        <f t="shared" si="6"/>
        <v>5</v>
      </c>
      <c r="AZ25" s="13">
        <f t="shared" si="7"/>
        <v>31</v>
      </c>
      <c r="BA25" s="13">
        <f>(augrepo[[#This Row],[Days]]-augrepo[[#This Row],[Absent]])</f>
        <v>28</v>
      </c>
      <c r="BB25" s="11">
        <f t="shared" ca="1" si="8"/>
        <v>15694</v>
      </c>
      <c r="BC25" s="13">
        <f ca="1">(augrepo[[#This Row],[Salary]]/augrepo[[#This Row],[Paid Days]])</f>
        <v>560.5</v>
      </c>
      <c r="BD25" s="13">
        <f ca="1">augrepo[[#This Row],[Salary]]*augrepo[[#This Row],[Absent]]</f>
        <v>47082</v>
      </c>
      <c r="BE25" s="13">
        <f ca="1">augrepo[[#This Row],[Salary]]-augrepo[[#This Row],[Deduction]]</f>
        <v>-31388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9"/>
        <v>5</v>
      </c>
      <c r="K26" s="34" t="s">
        <v>42</v>
      </c>
      <c r="L26" s="34" t="s">
        <v>42</v>
      </c>
      <c r="M26" s="34" t="s">
        <v>42</v>
      </c>
      <c r="N26" s="34" t="s">
        <v>46</v>
      </c>
      <c r="O26" s="34" t="s">
        <v>44</v>
      </c>
      <c r="P26" s="34" t="s">
        <v>42</v>
      </c>
      <c r="Q26" s="34" t="s">
        <v>42</v>
      </c>
      <c r="R26" s="34" t="s">
        <v>42</v>
      </c>
      <c r="S26" s="34" t="s">
        <v>42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45</v>
      </c>
      <c r="Y26" s="34" t="s">
        <v>42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45</v>
      </c>
      <c r="AL26" s="34" t="s">
        <v>42</v>
      </c>
      <c r="AM26" s="34" t="s">
        <v>42</v>
      </c>
      <c r="AN26" s="34" t="s">
        <v>42</v>
      </c>
      <c r="AO26" s="28" t="s">
        <v>46</v>
      </c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Aug</v>
      </c>
      <c r="AV26" s="11">
        <f t="shared" si="3"/>
        <v>20</v>
      </c>
      <c r="AW26" s="11">
        <f t="shared" si="4"/>
        <v>2</v>
      </c>
      <c r="AX26" s="11">
        <f t="shared" si="5"/>
        <v>5</v>
      </c>
      <c r="AY26" s="11">
        <f t="shared" si="6"/>
        <v>5</v>
      </c>
      <c r="AZ26" s="13">
        <f t="shared" si="7"/>
        <v>31</v>
      </c>
      <c r="BA26" s="13">
        <f>(augrepo[[#This Row],[Days]]-augrepo[[#This Row],[Absent]])</f>
        <v>29</v>
      </c>
      <c r="BB26" s="11">
        <f t="shared" ca="1" si="8"/>
        <v>22916</v>
      </c>
      <c r="BC26" s="13">
        <f ca="1">(augrepo[[#This Row],[Salary]]/augrepo[[#This Row],[Paid Days]])</f>
        <v>790.20689655172418</v>
      </c>
      <c r="BD26" s="13">
        <f ca="1">augrepo[[#This Row],[Salary]]*augrepo[[#This Row],[Absent]]</f>
        <v>45832</v>
      </c>
      <c r="BE26" s="13">
        <f ca="1">augrepo[[#This Row],[Salary]]-augrepo[[#This Row],[Deduction]]</f>
        <v>-22916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9"/>
        <v>5</v>
      </c>
      <c r="K27" s="34" t="s">
        <v>42</v>
      </c>
      <c r="L27" s="34" t="s">
        <v>42</v>
      </c>
      <c r="M27" s="34" t="s">
        <v>42</v>
      </c>
      <c r="N27" s="34" t="s">
        <v>46</v>
      </c>
      <c r="O27" s="34" t="s">
        <v>44</v>
      </c>
      <c r="P27" s="34" t="s">
        <v>42</v>
      </c>
      <c r="Q27" s="34" t="s">
        <v>42</v>
      </c>
      <c r="R27" s="34" t="s">
        <v>42</v>
      </c>
      <c r="S27" s="34" t="s">
        <v>42</v>
      </c>
      <c r="T27" s="34" t="s">
        <v>45</v>
      </c>
      <c r="U27" s="34" t="s">
        <v>46</v>
      </c>
      <c r="V27" s="34" t="s">
        <v>44</v>
      </c>
      <c r="W27" s="34" t="s">
        <v>45</v>
      </c>
      <c r="X27" s="34" t="s">
        <v>42</v>
      </c>
      <c r="Y27" s="34" t="s">
        <v>42</v>
      </c>
      <c r="Z27" s="34" t="s">
        <v>42</v>
      </c>
      <c r="AA27" s="34" t="s">
        <v>45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42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42</v>
      </c>
      <c r="AN27" s="34" t="s">
        <v>42</v>
      </c>
      <c r="AO27" s="28" t="s">
        <v>46</v>
      </c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Aug</v>
      </c>
      <c r="AV27" s="11">
        <f t="shared" si="3"/>
        <v>19</v>
      </c>
      <c r="AW27" s="11">
        <f t="shared" si="4"/>
        <v>3</v>
      </c>
      <c r="AX27" s="11">
        <f t="shared" si="5"/>
        <v>5</v>
      </c>
      <c r="AY27" s="11">
        <f t="shared" si="6"/>
        <v>5</v>
      </c>
      <c r="AZ27" s="13">
        <f t="shared" si="7"/>
        <v>31</v>
      </c>
      <c r="BA27" s="13">
        <f>(augrepo[[#This Row],[Days]]-augrepo[[#This Row],[Absent]])</f>
        <v>28</v>
      </c>
      <c r="BB27" s="11">
        <f t="shared" ca="1" si="8"/>
        <v>16531</v>
      </c>
      <c r="BC27" s="13">
        <f ca="1">(augrepo[[#This Row],[Salary]]/augrepo[[#This Row],[Paid Days]])</f>
        <v>590.39285714285711</v>
      </c>
      <c r="BD27" s="13">
        <f ca="1">augrepo[[#This Row],[Salary]]*augrepo[[#This Row],[Absent]]</f>
        <v>49593</v>
      </c>
      <c r="BE27" s="13">
        <f ca="1">augrepo[[#This Row],[Salary]]-augrepo[[#This Row],[Deduction]]</f>
        <v>-33062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9"/>
        <v>5</v>
      </c>
      <c r="K28" s="31" t="s">
        <v>42</v>
      </c>
      <c r="L28" s="31" t="s">
        <v>42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1" t="s">
        <v>42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4" t="s">
        <v>45</v>
      </c>
      <c r="AO28" s="32" t="s">
        <v>46</v>
      </c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Aug</v>
      </c>
      <c r="AV28" s="11">
        <f t="shared" si="3"/>
        <v>21</v>
      </c>
      <c r="AW28" s="11">
        <f t="shared" si="4"/>
        <v>1</v>
      </c>
      <c r="AX28" s="11">
        <f t="shared" si="5"/>
        <v>5</v>
      </c>
      <c r="AY28" s="11">
        <f t="shared" si="6"/>
        <v>5</v>
      </c>
      <c r="AZ28" s="13">
        <f t="shared" si="7"/>
        <v>31</v>
      </c>
      <c r="BA28" s="13">
        <f>(augrepo[[#This Row],[Days]]-augrepo[[#This Row],[Absent]])</f>
        <v>30</v>
      </c>
      <c r="BB28" s="11">
        <f t="shared" ca="1" si="8"/>
        <v>14739</v>
      </c>
      <c r="BC28" s="13">
        <f ca="1">(augrepo[[#This Row],[Salary]]/augrepo[[#This Row],[Paid Days]])</f>
        <v>491.3</v>
      </c>
      <c r="BD28" s="13">
        <f ca="1">augrepo[[#This Row],[Salary]]*augrepo[[#This Row],[Absent]]</f>
        <v>14739</v>
      </c>
      <c r="BE28" s="13">
        <f ca="1">augrepo[[#This Row],[Salary]]-augrepo[[#This Row],[Deduction]]</f>
        <v>0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mergeCells count="1">
    <mergeCell ref="G7:I7"/>
  </mergeCells>
  <conditionalFormatting sqref="K7:AO8 O10:O28 V10:V28 AC10:AC28 AJ10:AJ28">
    <cfRule type="containsText" dxfId="40" priority="31" operator="containsText" text="WO">
      <formula>NOT(ISERROR(SEARCH("WO",K7)))</formula>
    </cfRule>
  </conditionalFormatting>
  <conditionalFormatting sqref="K8:AO8 O10:O28 V10:V28 AC10:AC28 AJ10:AJ28">
    <cfRule type="containsText" dxfId="39" priority="29" operator="containsText" text="A">
      <formula>NOT(ISERROR(SEARCH("A",K8)))</formula>
    </cfRule>
    <cfRule type="containsText" dxfId="38" priority="30" operator="containsText" text="P">
      <formula>NOT(ISERROR(SEARCH("P",K8)))</formula>
    </cfRule>
  </conditionalFormatting>
  <conditionalFormatting sqref="K9:AO28">
    <cfRule type="containsText" dxfId="37" priority="1" operator="containsText" text="A">
      <formula>NOT(ISERROR(SEARCH("A",K9)))</formula>
    </cfRule>
    <cfRule type="containsText" dxfId="36" priority="2" operator="containsText" text="P">
      <formula>NOT(ISERROR(SEARCH("P",K9)))</formula>
    </cfRule>
    <cfRule type="containsText" dxfId="35" priority="3" operator="containsText" text="WO">
      <formula>NOT(ISERROR(SEARCH("WO",K9)))</formula>
    </cfRule>
  </conditionalFormatting>
  <conditionalFormatting sqref="O10:O28 V10:V28 AC10:AC28 AJ10:AJ28 K8:AO8">
    <cfRule type="containsText" dxfId="34" priority="28" operator="containsText" text="L">
      <formula>NOT(ISERROR(SEARCH("L",K8)))</formula>
    </cfRule>
  </conditionalFormatting>
  <conditionalFormatting sqref="AP9">
    <cfRule type="containsText" dxfId="33" priority="27" operator="containsText" text="WO">
      <formula>NOT(ISERROR(SEARCH("WO",AP9)))</formula>
    </cfRule>
  </conditionalFormatting>
  <dataValidations count="1">
    <dataValidation type="list" allowBlank="1" showInputMessage="1" showErrorMessage="1" sqref="K9:AO28" xr:uid="{C9E8F88E-4B20-409E-AB4A-12FFD73D744C}">
      <formula1>"P,A,L,WO"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EE78D1-9428-4145-AA60-3CD75297BD4A}">
          <x14:formula1>
            <xm:f>Sheet3!$A$1:$A$12</xm:f>
          </x14:formula1>
          <xm:sqref>H4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2883-5003-4BEB-8B34-E380AD66F7C6}">
  <dimension ref="D1:BG44"/>
  <sheetViews>
    <sheetView topLeftCell="AD6" zoomScaleNormal="100" workbookViewId="0">
      <selection activeCell="AW15" sqref="AW15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45901</v>
      </c>
      <c r="I4" s="19">
        <f>(DATEDIF($H$4,$L$4,"D")+1)</f>
        <v>30</v>
      </c>
      <c r="J4" s="17" t="str">
        <f>TEXT(H4,"mmm")</f>
        <v>Sep</v>
      </c>
      <c r="K4" s="17" t="s">
        <v>27</v>
      </c>
      <c r="L4" s="18">
        <f>EOMONTH(H4,0)</f>
        <v>45930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Mon</v>
      </c>
      <c r="L7" s="5" t="str">
        <f t="shared" ref="L7:AO7" si="0">TEXT(L8,"ddd")</f>
        <v>Tue</v>
      </c>
      <c r="M7" s="5" t="str">
        <f t="shared" si="0"/>
        <v>Wed</v>
      </c>
      <c r="N7" s="5" t="str">
        <f t="shared" si="0"/>
        <v>Thu</v>
      </c>
      <c r="O7" s="5" t="str">
        <f t="shared" si="0"/>
        <v>Fri</v>
      </c>
      <c r="P7" s="5" t="str">
        <f t="shared" si="0"/>
        <v>Sat</v>
      </c>
      <c r="Q7" s="5" t="str">
        <f t="shared" si="0"/>
        <v>Sun</v>
      </c>
      <c r="R7" s="5" t="str">
        <f t="shared" si="0"/>
        <v>Mon</v>
      </c>
      <c r="S7" s="5" t="str">
        <f t="shared" si="0"/>
        <v>Tue</v>
      </c>
      <c r="T7" s="5" t="str">
        <f t="shared" si="0"/>
        <v>Wed</v>
      </c>
      <c r="U7" s="5" t="str">
        <f t="shared" si="0"/>
        <v>Thu</v>
      </c>
      <c r="V7" s="5" t="str">
        <f t="shared" si="0"/>
        <v>Fri</v>
      </c>
      <c r="W7" s="5" t="str">
        <f t="shared" si="0"/>
        <v>Sat</v>
      </c>
      <c r="X7" s="5" t="str">
        <f t="shared" si="0"/>
        <v>Sun</v>
      </c>
      <c r="Y7" s="5" t="str">
        <f t="shared" si="0"/>
        <v>Mon</v>
      </c>
      <c r="Z7" s="5" t="str">
        <f t="shared" si="0"/>
        <v>Tue</v>
      </c>
      <c r="AA7" s="5" t="str">
        <f t="shared" si="0"/>
        <v>Wed</v>
      </c>
      <c r="AB7" s="5" t="str">
        <f t="shared" si="0"/>
        <v>Thu</v>
      </c>
      <c r="AC7" s="5" t="str">
        <f t="shared" si="0"/>
        <v>Fri</v>
      </c>
      <c r="AD7" s="5" t="str">
        <f t="shared" si="0"/>
        <v>Sat</v>
      </c>
      <c r="AE7" s="5" t="str">
        <f t="shared" si="0"/>
        <v>Sun</v>
      </c>
      <c r="AF7" s="5" t="str">
        <f t="shared" si="0"/>
        <v>Mon</v>
      </c>
      <c r="AG7" s="5" t="str">
        <f t="shared" si="0"/>
        <v>Tue</v>
      </c>
      <c r="AH7" s="5" t="str">
        <f t="shared" si="0"/>
        <v>Wed</v>
      </c>
      <c r="AI7" s="5" t="str">
        <f t="shared" si="0"/>
        <v>Thu</v>
      </c>
      <c r="AJ7" s="5" t="str">
        <f t="shared" si="0"/>
        <v>Fri</v>
      </c>
      <c r="AK7" s="5" t="str">
        <f t="shared" si="0"/>
        <v>Sat</v>
      </c>
      <c r="AL7" s="5" t="str">
        <f t="shared" si="0"/>
        <v>Sun</v>
      </c>
      <c r="AM7" s="5" t="str">
        <f t="shared" si="0"/>
        <v>Mon</v>
      </c>
      <c r="AN7" s="5" t="str">
        <f t="shared" si="0"/>
        <v>Tue</v>
      </c>
      <c r="AO7" s="6" t="str">
        <f t="shared" si="0"/>
        <v/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45901</v>
      </c>
      <c r="L8" s="23">
        <f t="shared" ref="L8:AO8" si="1">IF(K8&lt;$L$4,K8+1,"")</f>
        <v>45902</v>
      </c>
      <c r="M8" s="23">
        <f t="shared" si="1"/>
        <v>45903</v>
      </c>
      <c r="N8" s="23">
        <f t="shared" si="1"/>
        <v>45904</v>
      </c>
      <c r="O8" s="23">
        <f t="shared" si="1"/>
        <v>45905</v>
      </c>
      <c r="P8" s="23">
        <f t="shared" si="1"/>
        <v>45906</v>
      </c>
      <c r="Q8" s="23">
        <f t="shared" si="1"/>
        <v>45907</v>
      </c>
      <c r="R8" s="23">
        <f t="shared" si="1"/>
        <v>45908</v>
      </c>
      <c r="S8" s="23">
        <f t="shared" si="1"/>
        <v>45909</v>
      </c>
      <c r="T8" s="23">
        <f t="shared" si="1"/>
        <v>45910</v>
      </c>
      <c r="U8" s="23">
        <f t="shared" si="1"/>
        <v>45911</v>
      </c>
      <c r="V8" s="23">
        <f t="shared" si="1"/>
        <v>45912</v>
      </c>
      <c r="W8" s="23">
        <f t="shared" si="1"/>
        <v>45913</v>
      </c>
      <c r="X8" s="23">
        <f t="shared" si="1"/>
        <v>45914</v>
      </c>
      <c r="Y8" s="23">
        <f t="shared" si="1"/>
        <v>45915</v>
      </c>
      <c r="Z8" s="23">
        <f t="shared" si="1"/>
        <v>45916</v>
      </c>
      <c r="AA8" s="23">
        <f t="shared" si="1"/>
        <v>45917</v>
      </c>
      <c r="AB8" s="23">
        <f t="shared" si="1"/>
        <v>45918</v>
      </c>
      <c r="AC8" s="23">
        <f t="shared" si="1"/>
        <v>45919</v>
      </c>
      <c r="AD8" s="23">
        <f t="shared" si="1"/>
        <v>45920</v>
      </c>
      <c r="AE8" s="23">
        <f t="shared" si="1"/>
        <v>45921</v>
      </c>
      <c r="AF8" s="23">
        <f t="shared" si="1"/>
        <v>45922</v>
      </c>
      <c r="AG8" s="23">
        <f t="shared" si="1"/>
        <v>45923</v>
      </c>
      <c r="AH8" s="23">
        <f t="shared" si="1"/>
        <v>45924</v>
      </c>
      <c r="AI8" s="23">
        <f t="shared" si="1"/>
        <v>45925</v>
      </c>
      <c r="AJ8" s="23">
        <f t="shared" si="1"/>
        <v>45926</v>
      </c>
      <c r="AK8" s="23">
        <f t="shared" si="1"/>
        <v>45927</v>
      </c>
      <c r="AL8" s="23">
        <f t="shared" si="1"/>
        <v>45928</v>
      </c>
      <c r="AM8" s="23">
        <f t="shared" si="1"/>
        <v>45929</v>
      </c>
      <c r="AN8" s="23">
        <f t="shared" si="1"/>
        <v>45930</v>
      </c>
      <c r="AO8" s="24" t="str">
        <f t="shared" si="1"/>
        <v/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4</v>
      </c>
      <c r="K9" s="34" t="s">
        <v>42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42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46</v>
      </c>
      <c r="AO9" s="28"/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Sep</v>
      </c>
      <c r="AV9" s="11">
        <f>COUNTIF($K9:$AO9,"P")</f>
        <v>21</v>
      </c>
      <c r="AW9" s="11">
        <f t="shared" ref="AW9" si="3">COUNTIF($K9:$AO9,"A")</f>
        <v>0</v>
      </c>
      <c r="AX9" s="11">
        <f t="shared" ref="AX9" si="4">COUNTIF($K9:$AO9,"L")</f>
        <v>5</v>
      </c>
      <c r="AY9" s="11">
        <f t="shared" ref="AY9:AY28" si="5">$J$9</f>
        <v>4</v>
      </c>
      <c r="AZ9" s="13">
        <f t="shared" ref="AZ9:AZ28" si="6">$I$4</f>
        <v>30</v>
      </c>
      <c r="BA9" s="13">
        <f>(seprepo[[#This Row],[Days]]-seprepo[[#This Row],[Absent]])</f>
        <v>30</v>
      </c>
      <c r="BB9" s="11">
        <f t="shared" ref="BB9:BB28" ca="1" si="7">RANDBETWEEN(10000,25000)</f>
        <v>15173</v>
      </c>
      <c r="BC9" s="13">
        <f ca="1">(seprepo[[#This Row],[Salary]]/seprepo[[#This Row],[Paid Days]])</f>
        <v>505.76666666666665</v>
      </c>
      <c r="BD9" s="13">
        <f ca="1">seprepo[[#This Row],[Salary]]*seprepo[[#This Row],[Absent]]</f>
        <v>0</v>
      </c>
      <c r="BE9" s="13">
        <f ca="1">seprepo[[#This Row],[Salary]]-seprepo[[#This Row],[Deduction]]</f>
        <v>15173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8">COUNTIF($K$7:$AO$7,"Sun")</f>
        <v>4</v>
      </c>
      <c r="K10" s="34" t="s">
        <v>45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42</v>
      </c>
      <c r="Q10" s="34" t="s">
        <v>42</v>
      </c>
      <c r="R10" s="34" t="s">
        <v>42</v>
      </c>
      <c r="S10" s="34" t="s">
        <v>42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42</v>
      </c>
      <c r="AN10" s="34" t="s">
        <v>46</v>
      </c>
      <c r="AO10" s="28"/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Sep</v>
      </c>
      <c r="AV10" s="11">
        <f t="shared" ref="AV10:AV28" si="9">COUNTIF($K10:$AO10,"P")</f>
        <v>20</v>
      </c>
      <c r="AW10" s="11">
        <f t="shared" ref="AW10:AW28" si="10">COUNTIF($K10:$AO10,"A")</f>
        <v>1</v>
      </c>
      <c r="AX10" s="11">
        <f t="shared" ref="AX10:AX28" si="11">COUNTIF($K10:$AO10,"L")</f>
        <v>5</v>
      </c>
      <c r="AY10" s="11">
        <f t="shared" si="5"/>
        <v>4</v>
      </c>
      <c r="AZ10" s="13">
        <f t="shared" si="6"/>
        <v>30</v>
      </c>
      <c r="BA10" s="13">
        <f>(seprepo[[#This Row],[Days]]-seprepo[[#This Row],[Absent]])</f>
        <v>29</v>
      </c>
      <c r="BB10" s="11">
        <f t="shared" ca="1" si="7"/>
        <v>21828</v>
      </c>
      <c r="BC10" s="13">
        <f ca="1">(seprepo[[#This Row],[Salary]]/seprepo[[#This Row],[Paid Days]])</f>
        <v>752.68965517241384</v>
      </c>
      <c r="BD10" s="13">
        <f ca="1">seprepo[[#This Row],[Salary]]*seprepo[[#This Row],[Absent]]</f>
        <v>21828</v>
      </c>
      <c r="BE10" s="13">
        <f ca="1">seprepo[[#This Row],[Salary]]-seprepo[[#This Row],[Deduction]]</f>
        <v>0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8"/>
        <v>4</v>
      </c>
      <c r="K11" s="34" t="s">
        <v>42</v>
      </c>
      <c r="L11" s="34" t="s">
        <v>42</v>
      </c>
      <c r="M11" s="34" t="s">
        <v>42</v>
      </c>
      <c r="N11" s="34" t="s">
        <v>46</v>
      </c>
      <c r="O11" s="34" t="s">
        <v>44</v>
      </c>
      <c r="P11" s="34" t="s">
        <v>42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45</v>
      </c>
      <c r="X11" s="34" t="s">
        <v>42</v>
      </c>
      <c r="Y11" s="34" t="s">
        <v>42</v>
      </c>
      <c r="Z11" s="34" t="s">
        <v>42</v>
      </c>
      <c r="AA11" s="34" t="s">
        <v>42</v>
      </c>
      <c r="AB11" s="34" t="s">
        <v>46</v>
      </c>
      <c r="AC11" s="34" t="s">
        <v>44</v>
      </c>
      <c r="AD11" s="34" t="s">
        <v>42</v>
      </c>
      <c r="AE11" s="34" t="s">
        <v>42</v>
      </c>
      <c r="AF11" s="34" t="s">
        <v>42</v>
      </c>
      <c r="AG11" s="34" t="s">
        <v>42</v>
      </c>
      <c r="AH11" s="34" t="s">
        <v>42</v>
      </c>
      <c r="AI11" s="34" t="s">
        <v>46</v>
      </c>
      <c r="AJ11" s="34" t="s">
        <v>44</v>
      </c>
      <c r="AK11" s="34" t="s">
        <v>42</v>
      </c>
      <c r="AL11" s="34" t="s">
        <v>42</v>
      </c>
      <c r="AM11" s="34" t="s">
        <v>42</v>
      </c>
      <c r="AN11" s="34" t="s">
        <v>46</v>
      </c>
      <c r="AO11" s="28"/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Sep</v>
      </c>
      <c r="AV11" s="11">
        <f t="shared" si="9"/>
        <v>20</v>
      </c>
      <c r="AW11" s="11">
        <f t="shared" si="10"/>
        <v>1</v>
      </c>
      <c r="AX11" s="11">
        <f t="shared" si="11"/>
        <v>5</v>
      </c>
      <c r="AY11" s="11">
        <f t="shared" si="5"/>
        <v>4</v>
      </c>
      <c r="AZ11" s="13">
        <f t="shared" si="6"/>
        <v>30</v>
      </c>
      <c r="BA11" s="13">
        <f>(seprepo[[#This Row],[Days]]-seprepo[[#This Row],[Absent]])</f>
        <v>29</v>
      </c>
      <c r="BB11" s="11">
        <f t="shared" ca="1" si="7"/>
        <v>24932</v>
      </c>
      <c r="BC11" s="13">
        <f ca="1">(seprepo[[#This Row],[Salary]]/seprepo[[#This Row],[Paid Days]])</f>
        <v>859.72413793103453</v>
      </c>
      <c r="BD11" s="13">
        <f ca="1">seprepo[[#This Row],[Salary]]*seprepo[[#This Row],[Absent]]</f>
        <v>24932</v>
      </c>
      <c r="BE11" s="13">
        <f ca="1">seprepo[[#This Row],[Salary]]-seprepo[[#This Row],[Deduction]]</f>
        <v>0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8"/>
        <v>4</v>
      </c>
      <c r="K12" s="34" t="s">
        <v>42</v>
      </c>
      <c r="L12" s="34" t="s">
        <v>42</v>
      </c>
      <c r="M12" s="34" t="s">
        <v>42</v>
      </c>
      <c r="N12" s="34" t="s">
        <v>46</v>
      </c>
      <c r="O12" s="34" t="s">
        <v>44</v>
      </c>
      <c r="P12" s="34" t="s">
        <v>42</v>
      </c>
      <c r="Q12" s="34" t="s">
        <v>42</v>
      </c>
      <c r="R12" s="34" t="s">
        <v>42</v>
      </c>
      <c r="S12" s="34" t="s">
        <v>42</v>
      </c>
      <c r="T12" s="34" t="s">
        <v>42</v>
      </c>
      <c r="U12" s="34" t="s">
        <v>46</v>
      </c>
      <c r="V12" s="34" t="s">
        <v>44</v>
      </c>
      <c r="W12" s="34" t="s">
        <v>42</v>
      </c>
      <c r="X12" s="34" t="s">
        <v>42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42</v>
      </c>
      <c r="AE12" s="34" t="s">
        <v>42</v>
      </c>
      <c r="AF12" s="34" t="s">
        <v>42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42</v>
      </c>
      <c r="AL12" s="34" t="s">
        <v>42</v>
      </c>
      <c r="AM12" s="34" t="s">
        <v>42</v>
      </c>
      <c r="AN12" s="34" t="s">
        <v>46</v>
      </c>
      <c r="AO12" s="28"/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Sep</v>
      </c>
      <c r="AV12" s="11">
        <f t="shared" si="9"/>
        <v>21</v>
      </c>
      <c r="AW12" s="11">
        <f t="shared" si="10"/>
        <v>0</v>
      </c>
      <c r="AX12" s="11">
        <f t="shared" si="11"/>
        <v>5</v>
      </c>
      <c r="AY12" s="11">
        <f t="shared" si="5"/>
        <v>4</v>
      </c>
      <c r="AZ12" s="13">
        <f t="shared" si="6"/>
        <v>30</v>
      </c>
      <c r="BA12" s="13">
        <f>(seprepo[[#This Row],[Days]]-seprepo[[#This Row],[Absent]])</f>
        <v>30</v>
      </c>
      <c r="BB12" s="11">
        <f t="shared" ca="1" si="7"/>
        <v>21575</v>
      </c>
      <c r="BC12" s="13">
        <f ca="1">(seprepo[[#This Row],[Salary]]/seprepo[[#This Row],[Paid Days]])</f>
        <v>719.16666666666663</v>
      </c>
      <c r="BD12" s="13">
        <f ca="1">seprepo[[#This Row],[Salary]]*seprepo[[#This Row],[Absent]]</f>
        <v>0</v>
      </c>
      <c r="BE12" s="13">
        <f ca="1">seprepo[[#This Row],[Salary]]-seprepo[[#This Row],[Deduction]]</f>
        <v>21575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8"/>
        <v>4</v>
      </c>
      <c r="K13" s="34" t="s">
        <v>42</v>
      </c>
      <c r="L13" s="34" t="s">
        <v>45</v>
      </c>
      <c r="M13" s="34" t="s">
        <v>42</v>
      </c>
      <c r="N13" s="34" t="s">
        <v>46</v>
      </c>
      <c r="O13" s="34" t="s">
        <v>44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45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42</v>
      </c>
      <c r="AN13" s="34" t="s">
        <v>46</v>
      </c>
      <c r="AO13" s="28"/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Sep</v>
      </c>
      <c r="AV13" s="11">
        <f t="shared" si="9"/>
        <v>19</v>
      </c>
      <c r="AW13" s="11">
        <f t="shared" si="10"/>
        <v>2</v>
      </c>
      <c r="AX13" s="11">
        <f t="shared" si="11"/>
        <v>5</v>
      </c>
      <c r="AY13" s="11">
        <f t="shared" si="5"/>
        <v>4</v>
      </c>
      <c r="AZ13" s="13">
        <f t="shared" si="6"/>
        <v>30</v>
      </c>
      <c r="BA13" s="13">
        <f>(seprepo[[#This Row],[Days]]-seprepo[[#This Row],[Absent]])</f>
        <v>28</v>
      </c>
      <c r="BB13" s="11">
        <f t="shared" ca="1" si="7"/>
        <v>10491</v>
      </c>
      <c r="BC13" s="13">
        <f ca="1">(seprepo[[#This Row],[Salary]]/seprepo[[#This Row],[Paid Days]])</f>
        <v>374.67857142857144</v>
      </c>
      <c r="BD13" s="13">
        <f ca="1">seprepo[[#This Row],[Salary]]*seprepo[[#This Row],[Absent]]</f>
        <v>20982</v>
      </c>
      <c r="BE13" s="13">
        <f ca="1">seprepo[[#This Row],[Salary]]-seprepo[[#This Row],[Deduction]]</f>
        <v>-10491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8"/>
        <v>4</v>
      </c>
      <c r="K14" s="34" t="s">
        <v>42</v>
      </c>
      <c r="L14" s="34" t="s">
        <v>42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45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42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42</v>
      </c>
      <c r="AL14" s="34" t="s">
        <v>42</v>
      </c>
      <c r="AM14" s="34" t="s">
        <v>42</v>
      </c>
      <c r="AN14" s="34" t="s">
        <v>46</v>
      </c>
      <c r="AO14" s="28"/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Sep</v>
      </c>
      <c r="AV14" s="11">
        <f t="shared" si="9"/>
        <v>20</v>
      </c>
      <c r="AW14" s="11">
        <f t="shared" si="10"/>
        <v>1</v>
      </c>
      <c r="AX14" s="11">
        <f t="shared" si="11"/>
        <v>5</v>
      </c>
      <c r="AY14" s="11">
        <f t="shared" si="5"/>
        <v>4</v>
      </c>
      <c r="AZ14" s="13">
        <f t="shared" si="6"/>
        <v>30</v>
      </c>
      <c r="BA14" s="13">
        <f>(seprepo[[#This Row],[Days]]-seprepo[[#This Row],[Absent]])</f>
        <v>29</v>
      </c>
      <c r="BB14" s="11">
        <f t="shared" ca="1" si="7"/>
        <v>12886</v>
      </c>
      <c r="BC14" s="13">
        <f ca="1">(seprepo[[#This Row],[Salary]]/seprepo[[#This Row],[Paid Days]])</f>
        <v>444.34482758620692</v>
      </c>
      <c r="BD14" s="13">
        <f ca="1">seprepo[[#This Row],[Salary]]*seprepo[[#This Row],[Absent]]</f>
        <v>12886</v>
      </c>
      <c r="BE14" s="13">
        <f ca="1">seprepo[[#This Row],[Salary]]-seprepo[[#This Row],[Deduction]]</f>
        <v>0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8"/>
        <v>4</v>
      </c>
      <c r="K15" s="34" t="s">
        <v>42</v>
      </c>
      <c r="L15" s="34" t="s">
        <v>42</v>
      </c>
      <c r="M15" s="34" t="s">
        <v>42</v>
      </c>
      <c r="N15" s="34" t="s">
        <v>46</v>
      </c>
      <c r="O15" s="34" t="s">
        <v>44</v>
      </c>
      <c r="P15" s="34" t="s">
        <v>42</v>
      </c>
      <c r="Q15" s="34" t="s">
        <v>45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42</v>
      </c>
      <c r="Y15" s="34" t="s">
        <v>42</v>
      </c>
      <c r="Z15" s="34" t="s">
        <v>42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42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42</v>
      </c>
      <c r="AL15" s="34" t="s">
        <v>42</v>
      </c>
      <c r="AM15" s="34" t="s">
        <v>42</v>
      </c>
      <c r="AN15" s="34" t="s">
        <v>46</v>
      </c>
      <c r="AO15" s="28"/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Sep</v>
      </c>
      <c r="AV15" s="11">
        <f t="shared" si="9"/>
        <v>20</v>
      </c>
      <c r="AW15" s="11">
        <f t="shared" si="10"/>
        <v>1</v>
      </c>
      <c r="AX15" s="11">
        <f t="shared" si="11"/>
        <v>5</v>
      </c>
      <c r="AY15" s="11">
        <f t="shared" si="5"/>
        <v>4</v>
      </c>
      <c r="AZ15" s="13">
        <f t="shared" si="6"/>
        <v>30</v>
      </c>
      <c r="BA15" s="13">
        <f>(seprepo[[#This Row],[Days]]-seprepo[[#This Row],[Absent]])</f>
        <v>29</v>
      </c>
      <c r="BB15" s="11">
        <f t="shared" ca="1" si="7"/>
        <v>19912</v>
      </c>
      <c r="BC15" s="13">
        <f ca="1">(seprepo[[#This Row],[Salary]]/seprepo[[#This Row],[Paid Days]])</f>
        <v>686.62068965517244</v>
      </c>
      <c r="BD15" s="13">
        <f ca="1">seprepo[[#This Row],[Salary]]*seprepo[[#This Row],[Absent]]</f>
        <v>19912</v>
      </c>
      <c r="BE15" s="13">
        <f ca="1">seprepo[[#This Row],[Salary]]-seprepo[[#This Row],[Deduction]]</f>
        <v>0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8"/>
        <v>4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42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42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46</v>
      </c>
      <c r="AO16" s="34"/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Sep</v>
      </c>
      <c r="AV16" s="11">
        <f t="shared" si="9"/>
        <v>21</v>
      </c>
      <c r="AW16" s="11">
        <f t="shared" si="10"/>
        <v>0</v>
      </c>
      <c r="AX16" s="11">
        <f t="shared" si="11"/>
        <v>5</v>
      </c>
      <c r="AY16" s="11">
        <f t="shared" si="5"/>
        <v>4</v>
      </c>
      <c r="AZ16" s="13">
        <f t="shared" si="6"/>
        <v>30</v>
      </c>
      <c r="BA16" s="13">
        <f>(seprepo[[#This Row],[Days]]-seprepo[[#This Row],[Absent]])</f>
        <v>30</v>
      </c>
      <c r="BB16" s="11">
        <f t="shared" ca="1" si="7"/>
        <v>20322</v>
      </c>
      <c r="BC16" s="13">
        <f ca="1">(seprepo[[#This Row],[Salary]]/seprepo[[#This Row],[Paid Days]])</f>
        <v>677.4</v>
      </c>
      <c r="BD16" s="13">
        <f ca="1">seprepo[[#This Row],[Salary]]*seprepo[[#This Row],[Absent]]</f>
        <v>0</v>
      </c>
      <c r="BE16" s="13">
        <f ca="1">seprepo[[#This Row],[Salary]]-seprepo[[#This Row],[Deduction]]</f>
        <v>20322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8"/>
        <v>4</v>
      </c>
      <c r="K17" s="34" t="s">
        <v>42</v>
      </c>
      <c r="L17" s="34" t="s">
        <v>42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42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42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42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46</v>
      </c>
      <c r="AO17" s="28"/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Sep</v>
      </c>
      <c r="AV17" s="11">
        <f t="shared" si="9"/>
        <v>21</v>
      </c>
      <c r="AW17" s="11">
        <f t="shared" si="10"/>
        <v>0</v>
      </c>
      <c r="AX17" s="11">
        <f t="shared" si="11"/>
        <v>5</v>
      </c>
      <c r="AY17" s="11">
        <f t="shared" si="5"/>
        <v>4</v>
      </c>
      <c r="AZ17" s="13">
        <f t="shared" si="6"/>
        <v>30</v>
      </c>
      <c r="BA17" s="13">
        <f>(seprepo[[#This Row],[Days]]-seprepo[[#This Row],[Absent]])</f>
        <v>30</v>
      </c>
      <c r="BB17" s="11">
        <f t="shared" ca="1" si="7"/>
        <v>22617</v>
      </c>
      <c r="BC17" s="13">
        <f ca="1">(seprepo[[#This Row],[Salary]]/seprepo[[#This Row],[Paid Days]])</f>
        <v>753.9</v>
      </c>
      <c r="BD17" s="13">
        <f ca="1">seprepo[[#This Row],[Salary]]*seprepo[[#This Row],[Absent]]</f>
        <v>0</v>
      </c>
      <c r="BE17" s="13">
        <f ca="1">seprepo[[#This Row],[Salary]]-seprepo[[#This Row],[Deduction]]</f>
        <v>22617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8"/>
        <v>4</v>
      </c>
      <c r="K18" s="34" t="s">
        <v>42</v>
      </c>
      <c r="L18" s="34" t="s">
        <v>42</v>
      </c>
      <c r="M18" s="34" t="s">
        <v>42</v>
      </c>
      <c r="N18" s="34" t="s">
        <v>46</v>
      </c>
      <c r="O18" s="34" t="s">
        <v>44</v>
      </c>
      <c r="P18" s="34" t="s">
        <v>42</v>
      </c>
      <c r="Q18" s="34" t="s">
        <v>42</v>
      </c>
      <c r="R18" s="34" t="s">
        <v>42</v>
      </c>
      <c r="S18" s="34" t="s">
        <v>45</v>
      </c>
      <c r="T18" s="34" t="s">
        <v>42</v>
      </c>
      <c r="U18" s="34" t="s">
        <v>46</v>
      </c>
      <c r="V18" s="34" t="s">
        <v>44</v>
      </c>
      <c r="W18" s="34" t="s">
        <v>42</v>
      </c>
      <c r="X18" s="34" t="s">
        <v>45</v>
      </c>
      <c r="Y18" s="34" t="s">
        <v>42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45</v>
      </c>
      <c r="AE18" s="34" t="s">
        <v>42</v>
      </c>
      <c r="AF18" s="34" t="s">
        <v>42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46</v>
      </c>
      <c r="AO18" s="28"/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Sep</v>
      </c>
      <c r="AV18" s="11">
        <f t="shared" si="9"/>
        <v>18</v>
      </c>
      <c r="AW18" s="11">
        <f t="shared" si="10"/>
        <v>3</v>
      </c>
      <c r="AX18" s="11">
        <f t="shared" si="11"/>
        <v>5</v>
      </c>
      <c r="AY18" s="11">
        <f t="shared" si="5"/>
        <v>4</v>
      </c>
      <c r="AZ18" s="13">
        <f t="shared" si="6"/>
        <v>30</v>
      </c>
      <c r="BA18" s="13">
        <f>(seprepo[[#This Row],[Days]]-seprepo[[#This Row],[Absent]])</f>
        <v>27</v>
      </c>
      <c r="BB18" s="11">
        <f t="shared" ca="1" si="7"/>
        <v>13673</v>
      </c>
      <c r="BC18" s="13">
        <f ca="1">(seprepo[[#This Row],[Salary]]/seprepo[[#This Row],[Paid Days]])</f>
        <v>506.40740740740739</v>
      </c>
      <c r="BD18" s="13">
        <f ca="1">seprepo[[#This Row],[Salary]]*seprepo[[#This Row],[Absent]]</f>
        <v>41019</v>
      </c>
      <c r="BE18" s="13">
        <f ca="1">seprepo[[#This Row],[Salary]]-seprepo[[#This Row],[Deduction]]</f>
        <v>-27346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8"/>
        <v>4</v>
      </c>
      <c r="K19" s="34" t="s">
        <v>42</v>
      </c>
      <c r="L19" s="34" t="s">
        <v>42</v>
      </c>
      <c r="M19" s="34" t="s">
        <v>42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42</v>
      </c>
      <c r="T19" s="34" t="s">
        <v>45</v>
      </c>
      <c r="U19" s="34" t="s">
        <v>46</v>
      </c>
      <c r="V19" s="34" t="s">
        <v>44</v>
      </c>
      <c r="W19" s="34" t="s">
        <v>42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42</v>
      </c>
      <c r="AN19" s="34" t="s">
        <v>46</v>
      </c>
      <c r="AO19" s="28"/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Sep</v>
      </c>
      <c r="AV19" s="11">
        <f t="shared" si="9"/>
        <v>20</v>
      </c>
      <c r="AW19" s="11">
        <f t="shared" si="10"/>
        <v>1</v>
      </c>
      <c r="AX19" s="11">
        <f t="shared" si="11"/>
        <v>5</v>
      </c>
      <c r="AY19" s="11">
        <f t="shared" si="5"/>
        <v>4</v>
      </c>
      <c r="AZ19" s="13">
        <f t="shared" si="6"/>
        <v>30</v>
      </c>
      <c r="BA19" s="13">
        <f>(seprepo[[#This Row],[Days]]-seprepo[[#This Row],[Absent]])</f>
        <v>29</v>
      </c>
      <c r="BB19" s="11">
        <f t="shared" ca="1" si="7"/>
        <v>19603</v>
      </c>
      <c r="BC19" s="13">
        <f ca="1">(seprepo[[#This Row],[Salary]]/seprepo[[#This Row],[Paid Days]])</f>
        <v>675.9655172413793</v>
      </c>
      <c r="BD19" s="13">
        <f ca="1">seprepo[[#This Row],[Salary]]*seprepo[[#This Row],[Absent]]</f>
        <v>19603</v>
      </c>
      <c r="BE19" s="13">
        <f ca="1">seprepo[[#This Row],[Salary]]-seprepo[[#This Row],[Deduction]]</f>
        <v>0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8"/>
        <v>4</v>
      </c>
      <c r="K20" s="34" t="s">
        <v>42</v>
      </c>
      <c r="L20" s="34" t="s">
        <v>42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45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42</v>
      </c>
      <c r="X20" s="34" t="s">
        <v>42</v>
      </c>
      <c r="Y20" s="34" t="s">
        <v>42</v>
      </c>
      <c r="Z20" s="34" t="s">
        <v>42</v>
      </c>
      <c r="AA20" s="34" t="s">
        <v>42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42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42</v>
      </c>
      <c r="AN20" s="34" t="s">
        <v>46</v>
      </c>
      <c r="AO20" s="28"/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Sep</v>
      </c>
      <c r="AV20" s="11">
        <f t="shared" si="9"/>
        <v>20</v>
      </c>
      <c r="AW20" s="11">
        <f t="shared" si="10"/>
        <v>1</v>
      </c>
      <c r="AX20" s="11">
        <f t="shared" si="11"/>
        <v>5</v>
      </c>
      <c r="AY20" s="11">
        <f t="shared" si="5"/>
        <v>4</v>
      </c>
      <c r="AZ20" s="13">
        <f t="shared" si="6"/>
        <v>30</v>
      </c>
      <c r="BA20" s="13">
        <f>(seprepo[[#This Row],[Days]]-seprepo[[#This Row],[Absent]])</f>
        <v>29</v>
      </c>
      <c r="BB20" s="11">
        <f t="shared" ca="1" si="7"/>
        <v>18801</v>
      </c>
      <c r="BC20" s="13">
        <f ca="1">(seprepo[[#This Row],[Salary]]/seprepo[[#This Row],[Paid Days]])</f>
        <v>648.31034482758616</v>
      </c>
      <c r="BD20" s="13">
        <f ca="1">seprepo[[#This Row],[Salary]]*seprepo[[#This Row],[Absent]]</f>
        <v>18801</v>
      </c>
      <c r="BE20" s="13">
        <f ca="1">seprepo[[#This Row],[Salary]]-seprepo[[#This Row],[Deduction]]</f>
        <v>0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8"/>
        <v>4</v>
      </c>
      <c r="K21" s="34" t="s">
        <v>42</v>
      </c>
      <c r="L21" s="34" t="s">
        <v>42</v>
      </c>
      <c r="M21" s="34" t="s">
        <v>42</v>
      </c>
      <c r="N21" s="34" t="s">
        <v>46</v>
      </c>
      <c r="O21" s="34" t="s">
        <v>44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42</v>
      </c>
      <c r="U21" s="34" t="s">
        <v>46</v>
      </c>
      <c r="V21" s="34" t="s">
        <v>44</v>
      </c>
      <c r="W21" s="34" t="s">
        <v>42</v>
      </c>
      <c r="X21" s="34" t="s">
        <v>42</v>
      </c>
      <c r="Y21" s="34" t="s">
        <v>42</v>
      </c>
      <c r="Z21" s="34" t="s">
        <v>42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46</v>
      </c>
      <c r="AO21" s="28"/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Sep</v>
      </c>
      <c r="AV21" s="11">
        <f t="shared" si="9"/>
        <v>21</v>
      </c>
      <c r="AW21" s="11">
        <f t="shared" si="10"/>
        <v>0</v>
      </c>
      <c r="AX21" s="11">
        <f t="shared" si="11"/>
        <v>5</v>
      </c>
      <c r="AY21" s="11">
        <f t="shared" si="5"/>
        <v>4</v>
      </c>
      <c r="AZ21" s="13">
        <f t="shared" si="6"/>
        <v>30</v>
      </c>
      <c r="BA21" s="13">
        <f>(seprepo[[#This Row],[Days]]-seprepo[[#This Row],[Absent]])</f>
        <v>30</v>
      </c>
      <c r="BB21" s="11">
        <f t="shared" ca="1" si="7"/>
        <v>17384</v>
      </c>
      <c r="BC21" s="13">
        <f ca="1">(seprepo[[#This Row],[Salary]]/seprepo[[#This Row],[Paid Days]])</f>
        <v>579.4666666666667</v>
      </c>
      <c r="BD21" s="13">
        <f ca="1">seprepo[[#This Row],[Salary]]*seprepo[[#This Row],[Absent]]</f>
        <v>0</v>
      </c>
      <c r="BE21" s="13">
        <f ca="1">seprepo[[#This Row],[Salary]]-seprepo[[#This Row],[Deduction]]</f>
        <v>17384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8"/>
        <v>4</v>
      </c>
      <c r="K22" s="34" t="s">
        <v>42</v>
      </c>
      <c r="L22" s="34" t="s">
        <v>42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45</v>
      </c>
      <c r="AL22" s="34" t="s">
        <v>42</v>
      </c>
      <c r="AM22" s="34" t="s">
        <v>42</v>
      </c>
      <c r="AN22" s="34" t="s">
        <v>46</v>
      </c>
      <c r="AO22" s="28"/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Sep</v>
      </c>
      <c r="AV22" s="11">
        <f t="shared" si="9"/>
        <v>20</v>
      </c>
      <c r="AW22" s="11">
        <f t="shared" si="10"/>
        <v>1</v>
      </c>
      <c r="AX22" s="11">
        <f t="shared" si="11"/>
        <v>5</v>
      </c>
      <c r="AY22" s="11">
        <f t="shared" si="5"/>
        <v>4</v>
      </c>
      <c r="AZ22" s="13">
        <f t="shared" si="6"/>
        <v>30</v>
      </c>
      <c r="BA22" s="13">
        <f>(seprepo[[#This Row],[Days]]-seprepo[[#This Row],[Absent]])</f>
        <v>29</v>
      </c>
      <c r="BB22" s="11">
        <f t="shared" ca="1" si="7"/>
        <v>20918</v>
      </c>
      <c r="BC22" s="13">
        <f ca="1">(seprepo[[#This Row],[Salary]]/seprepo[[#This Row],[Paid Days]])</f>
        <v>721.31034482758616</v>
      </c>
      <c r="BD22" s="13">
        <f ca="1">seprepo[[#This Row],[Salary]]*seprepo[[#This Row],[Absent]]</f>
        <v>20918</v>
      </c>
      <c r="BE22" s="13">
        <f ca="1">seprepo[[#This Row],[Salary]]-seprepo[[#This Row],[Deduction]]</f>
        <v>0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8"/>
        <v>4</v>
      </c>
      <c r="K23" s="34" t="s">
        <v>42</v>
      </c>
      <c r="L23" s="34" t="s">
        <v>42</v>
      </c>
      <c r="M23" s="34" t="s">
        <v>42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45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42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42</v>
      </c>
      <c r="AL23" s="34" t="s">
        <v>42</v>
      </c>
      <c r="AM23" s="34" t="s">
        <v>42</v>
      </c>
      <c r="AN23" s="34" t="s">
        <v>46</v>
      </c>
      <c r="AO23" s="28"/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Sep</v>
      </c>
      <c r="AV23" s="11">
        <f t="shared" si="9"/>
        <v>20</v>
      </c>
      <c r="AW23" s="11">
        <f t="shared" si="10"/>
        <v>1</v>
      </c>
      <c r="AX23" s="11">
        <f t="shared" si="11"/>
        <v>5</v>
      </c>
      <c r="AY23" s="11">
        <f t="shared" si="5"/>
        <v>4</v>
      </c>
      <c r="AZ23" s="13">
        <f t="shared" si="6"/>
        <v>30</v>
      </c>
      <c r="BA23" s="13">
        <f>(seprepo[[#This Row],[Days]]-seprepo[[#This Row],[Absent]])</f>
        <v>29</v>
      </c>
      <c r="BB23" s="11">
        <f t="shared" ca="1" si="7"/>
        <v>16478</v>
      </c>
      <c r="BC23" s="13">
        <f ca="1">(seprepo[[#This Row],[Salary]]/seprepo[[#This Row],[Paid Days]])</f>
        <v>568.20689655172418</v>
      </c>
      <c r="BD23" s="13">
        <f ca="1">seprepo[[#This Row],[Salary]]*seprepo[[#This Row],[Absent]]</f>
        <v>16478</v>
      </c>
      <c r="BE23" s="13">
        <f ca="1">seprepo[[#This Row],[Salary]]-seprepo[[#This Row],[Deduction]]</f>
        <v>0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8"/>
        <v>4</v>
      </c>
      <c r="K24" s="34" t="s">
        <v>42</v>
      </c>
      <c r="L24" s="34" t="s">
        <v>45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42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42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42</v>
      </c>
      <c r="AN24" s="34" t="s">
        <v>46</v>
      </c>
      <c r="AO24" s="28"/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Sep</v>
      </c>
      <c r="AV24" s="11">
        <f t="shared" si="9"/>
        <v>20</v>
      </c>
      <c r="AW24" s="11">
        <f t="shared" si="10"/>
        <v>1</v>
      </c>
      <c r="AX24" s="11">
        <f t="shared" si="11"/>
        <v>5</v>
      </c>
      <c r="AY24" s="11">
        <f t="shared" si="5"/>
        <v>4</v>
      </c>
      <c r="AZ24" s="13">
        <f t="shared" si="6"/>
        <v>30</v>
      </c>
      <c r="BA24" s="13">
        <f>(seprepo[[#This Row],[Days]]-seprepo[[#This Row],[Absent]])</f>
        <v>29</v>
      </c>
      <c r="BB24" s="11">
        <f t="shared" ca="1" si="7"/>
        <v>14137</v>
      </c>
      <c r="BC24" s="13">
        <f ca="1">(seprepo[[#This Row],[Salary]]/seprepo[[#This Row],[Paid Days]])</f>
        <v>487.48275862068965</v>
      </c>
      <c r="BD24" s="13">
        <f ca="1">seprepo[[#This Row],[Salary]]*seprepo[[#This Row],[Absent]]</f>
        <v>14137</v>
      </c>
      <c r="BE24" s="13">
        <f ca="1">seprepo[[#This Row],[Salary]]-seprepo[[#This Row],[Deduction]]</f>
        <v>0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8"/>
        <v>4</v>
      </c>
      <c r="K25" s="34" t="s">
        <v>45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42</v>
      </c>
      <c r="Q25" s="34" t="s">
        <v>42</v>
      </c>
      <c r="R25" s="34" t="s">
        <v>42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42</v>
      </c>
      <c r="Z25" s="34" t="s">
        <v>42</v>
      </c>
      <c r="AA25" s="34" t="s">
        <v>45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42</v>
      </c>
      <c r="AG25" s="34" t="s">
        <v>42</v>
      </c>
      <c r="AH25" s="34" t="s">
        <v>42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46</v>
      </c>
      <c r="AO25" s="34"/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Sep</v>
      </c>
      <c r="AV25" s="11">
        <f t="shared" si="9"/>
        <v>19</v>
      </c>
      <c r="AW25" s="11">
        <f t="shared" si="10"/>
        <v>2</v>
      </c>
      <c r="AX25" s="11">
        <f t="shared" si="11"/>
        <v>5</v>
      </c>
      <c r="AY25" s="11">
        <f t="shared" si="5"/>
        <v>4</v>
      </c>
      <c r="AZ25" s="13">
        <f t="shared" si="6"/>
        <v>30</v>
      </c>
      <c r="BA25" s="13">
        <f>(seprepo[[#This Row],[Days]]-seprepo[[#This Row],[Absent]])</f>
        <v>28</v>
      </c>
      <c r="BB25" s="11">
        <f t="shared" ca="1" si="7"/>
        <v>10227</v>
      </c>
      <c r="BC25" s="13">
        <f ca="1">(seprepo[[#This Row],[Salary]]/seprepo[[#This Row],[Paid Days]])</f>
        <v>365.25</v>
      </c>
      <c r="BD25" s="13">
        <f ca="1">seprepo[[#This Row],[Salary]]*seprepo[[#This Row],[Absent]]</f>
        <v>20454</v>
      </c>
      <c r="BE25" s="13">
        <f ca="1">seprepo[[#This Row],[Salary]]-seprepo[[#This Row],[Deduction]]</f>
        <v>-10227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8"/>
        <v>4</v>
      </c>
      <c r="K26" s="34" t="s">
        <v>42</v>
      </c>
      <c r="L26" s="34" t="s">
        <v>42</v>
      </c>
      <c r="M26" s="34" t="s">
        <v>42</v>
      </c>
      <c r="N26" s="34" t="s">
        <v>46</v>
      </c>
      <c r="O26" s="34" t="s">
        <v>44</v>
      </c>
      <c r="P26" s="34" t="s">
        <v>42</v>
      </c>
      <c r="Q26" s="34" t="s">
        <v>42</v>
      </c>
      <c r="R26" s="34" t="s">
        <v>42</v>
      </c>
      <c r="S26" s="34" t="s">
        <v>42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42</v>
      </c>
      <c r="Y26" s="34" t="s">
        <v>42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45</v>
      </c>
      <c r="AM26" s="34" t="s">
        <v>42</v>
      </c>
      <c r="AN26" s="34" t="s">
        <v>46</v>
      </c>
      <c r="AO26" s="28"/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Sep</v>
      </c>
      <c r="AV26" s="11">
        <f t="shared" si="9"/>
        <v>20</v>
      </c>
      <c r="AW26" s="11">
        <f t="shared" si="10"/>
        <v>1</v>
      </c>
      <c r="AX26" s="11">
        <f t="shared" si="11"/>
        <v>5</v>
      </c>
      <c r="AY26" s="11">
        <f t="shared" si="5"/>
        <v>4</v>
      </c>
      <c r="AZ26" s="13">
        <f t="shared" si="6"/>
        <v>30</v>
      </c>
      <c r="BA26" s="13">
        <f>(seprepo[[#This Row],[Days]]-seprepo[[#This Row],[Absent]])</f>
        <v>29</v>
      </c>
      <c r="BB26" s="11">
        <f t="shared" ca="1" si="7"/>
        <v>17488</v>
      </c>
      <c r="BC26" s="13">
        <f ca="1">(seprepo[[#This Row],[Salary]]/seprepo[[#This Row],[Paid Days]])</f>
        <v>603.0344827586207</v>
      </c>
      <c r="BD26" s="13">
        <f ca="1">seprepo[[#This Row],[Salary]]*seprepo[[#This Row],[Absent]]</f>
        <v>17488</v>
      </c>
      <c r="BE26" s="13">
        <f ca="1">seprepo[[#This Row],[Salary]]-seprepo[[#This Row],[Deduction]]</f>
        <v>0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8"/>
        <v>4</v>
      </c>
      <c r="K27" s="34" t="s">
        <v>42</v>
      </c>
      <c r="L27" s="34" t="s">
        <v>42</v>
      </c>
      <c r="M27" s="34" t="s">
        <v>42</v>
      </c>
      <c r="N27" s="34" t="s">
        <v>46</v>
      </c>
      <c r="O27" s="34" t="s">
        <v>44</v>
      </c>
      <c r="P27" s="34" t="s">
        <v>42</v>
      </c>
      <c r="Q27" s="34" t="s">
        <v>42</v>
      </c>
      <c r="R27" s="34" t="s">
        <v>42</v>
      </c>
      <c r="S27" s="34" t="s">
        <v>42</v>
      </c>
      <c r="T27" s="34" t="s">
        <v>45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42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42</v>
      </c>
      <c r="AN27" s="34" t="s">
        <v>46</v>
      </c>
      <c r="AO27" s="28"/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Sep</v>
      </c>
      <c r="AV27" s="11">
        <f t="shared" si="9"/>
        <v>20</v>
      </c>
      <c r="AW27" s="11">
        <f t="shared" si="10"/>
        <v>1</v>
      </c>
      <c r="AX27" s="11">
        <f t="shared" si="11"/>
        <v>5</v>
      </c>
      <c r="AY27" s="11">
        <f t="shared" si="5"/>
        <v>4</v>
      </c>
      <c r="AZ27" s="13">
        <f t="shared" si="6"/>
        <v>30</v>
      </c>
      <c r="BA27" s="13">
        <f>(seprepo[[#This Row],[Days]]-seprepo[[#This Row],[Absent]])</f>
        <v>29</v>
      </c>
      <c r="BB27" s="11">
        <f t="shared" ca="1" si="7"/>
        <v>12760</v>
      </c>
      <c r="BC27" s="13">
        <f ca="1">(seprepo[[#This Row],[Salary]]/seprepo[[#This Row],[Paid Days]])</f>
        <v>440</v>
      </c>
      <c r="BD27" s="13">
        <f ca="1">seprepo[[#This Row],[Salary]]*seprepo[[#This Row],[Absent]]</f>
        <v>12760</v>
      </c>
      <c r="BE27" s="13">
        <f ca="1">seprepo[[#This Row],[Salary]]-seprepo[[#This Row],[Deduction]]</f>
        <v>0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8"/>
        <v>4</v>
      </c>
      <c r="K28" s="31" t="s">
        <v>42</v>
      </c>
      <c r="L28" s="31" t="s">
        <v>42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1" t="s">
        <v>42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1" t="s">
        <v>46</v>
      </c>
      <c r="AO28" s="32"/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Sep</v>
      </c>
      <c r="AV28" s="11">
        <f t="shared" si="9"/>
        <v>21</v>
      </c>
      <c r="AW28" s="11">
        <f t="shared" si="10"/>
        <v>0</v>
      </c>
      <c r="AX28" s="11">
        <f t="shared" si="11"/>
        <v>5</v>
      </c>
      <c r="AY28" s="11">
        <f t="shared" si="5"/>
        <v>4</v>
      </c>
      <c r="AZ28" s="13">
        <f t="shared" si="6"/>
        <v>30</v>
      </c>
      <c r="BA28" s="13">
        <f>(seprepo[[#This Row],[Days]]-seprepo[[#This Row],[Absent]])</f>
        <v>30</v>
      </c>
      <c r="BB28" s="11">
        <f t="shared" ca="1" si="7"/>
        <v>16826</v>
      </c>
      <c r="BC28" s="13">
        <f ca="1">(seprepo[[#This Row],[Salary]]/seprepo[[#This Row],[Paid Days]])</f>
        <v>560.86666666666667</v>
      </c>
      <c r="BD28" s="13">
        <f ca="1">seprepo[[#This Row],[Salary]]*seprepo[[#This Row],[Absent]]</f>
        <v>0</v>
      </c>
      <c r="BE28" s="13">
        <f ca="1">seprepo[[#This Row],[Salary]]-seprepo[[#This Row],[Deduction]]</f>
        <v>16826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mergeCells count="1">
    <mergeCell ref="G7:I7"/>
  </mergeCells>
  <conditionalFormatting sqref="K9:AN28">
    <cfRule type="containsText" dxfId="32" priority="9" operator="containsText" text="WO">
      <formula>NOT(ISERROR(SEARCH("WO",K9)))</formula>
    </cfRule>
  </conditionalFormatting>
  <conditionalFormatting sqref="K7:AO8 O10:O28 V10:V28 AC10:AC28 AJ10:AJ28">
    <cfRule type="containsText" dxfId="31" priority="34" operator="containsText" text="WO">
      <formula>NOT(ISERROR(SEARCH("WO",K7)))</formula>
    </cfRule>
  </conditionalFormatting>
  <conditionalFormatting sqref="K8:AO8 O10:O28 V10:V28 AC10:AC28 AJ10:AJ28">
    <cfRule type="containsText" dxfId="30" priority="32" operator="containsText" text="A">
      <formula>NOT(ISERROR(SEARCH("A",K8)))</formula>
    </cfRule>
    <cfRule type="containsText" dxfId="29" priority="33" operator="containsText" text="P">
      <formula>NOT(ISERROR(SEARCH("P",K8)))</formula>
    </cfRule>
  </conditionalFormatting>
  <conditionalFormatting sqref="K9:AO28">
    <cfRule type="containsText" dxfId="28" priority="2" operator="containsText" text="P">
      <formula>NOT(ISERROR(SEARCH("P",K9)))</formula>
    </cfRule>
    <cfRule type="containsText" dxfId="27" priority="1" operator="containsText" text="A">
      <formula>NOT(ISERROR(SEARCH("A",K9)))</formula>
    </cfRule>
  </conditionalFormatting>
  <conditionalFormatting sqref="O10:O28 V10:V28 AC10:AC28 AJ10:AJ28 K8:AO8">
    <cfRule type="containsText" dxfId="26" priority="31" operator="containsText" text="L">
      <formula>NOT(ISERROR(SEARCH("L",K8)))</formula>
    </cfRule>
  </conditionalFormatting>
  <conditionalFormatting sqref="AO10:AO28">
    <cfRule type="containsText" dxfId="25" priority="3" operator="containsText" text="WO">
      <formula>NOT(ISERROR(SEARCH("WO",AO10)))</formula>
    </cfRule>
  </conditionalFormatting>
  <conditionalFormatting sqref="AO9:AP9">
    <cfRule type="containsText" dxfId="24" priority="30" operator="containsText" text="WO">
      <formula>NOT(ISERROR(SEARCH("WO",AO9)))</formula>
    </cfRule>
  </conditionalFormatting>
  <dataValidations count="1">
    <dataValidation type="list" allowBlank="1" showInputMessage="1" showErrorMessage="1" sqref="K9:AO28" xr:uid="{767CE769-380E-49F9-9768-7FFB28762C1E}">
      <formula1>"P,A,L,WO"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66A2B7-CC14-4A9F-8CC0-6FAA13BA89C6}">
          <x14:formula1>
            <xm:f>Sheet3!$A$1:$A$12</xm:f>
          </x14:formula1>
          <xm:sqref>H4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039-F79C-409E-8A12-B039773AB6E1}">
  <dimension ref="D1:BG44"/>
  <sheetViews>
    <sheetView topLeftCell="AF1" zoomScale="70" zoomScaleNormal="70" workbookViewId="0">
      <selection activeCell="AV9" sqref="AV9:AX9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45931</v>
      </c>
      <c r="I4" s="19">
        <f>(DATEDIF($H$4,$L$4,"D")+1)</f>
        <v>31</v>
      </c>
      <c r="J4" s="17" t="str">
        <f>TEXT(H4,"mmm")</f>
        <v>Oct</v>
      </c>
      <c r="K4" s="17" t="s">
        <v>27</v>
      </c>
      <c r="L4" s="18">
        <f>EOMONTH(H4,0)</f>
        <v>45961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Wed</v>
      </c>
      <c r="L7" s="5" t="str">
        <f t="shared" ref="L7:AO7" si="0">TEXT(L8,"ddd")</f>
        <v>Thu</v>
      </c>
      <c r="M7" s="5" t="str">
        <f t="shared" si="0"/>
        <v>Fri</v>
      </c>
      <c r="N7" s="5" t="str">
        <f t="shared" si="0"/>
        <v>Sat</v>
      </c>
      <c r="O7" s="5" t="str">
        <f t="shared" si="0"/>
        <v>Sun</v>
      </c>
      <c r="P7" s="5" t="str">
        <f t="shared" si="0"/>
        <v>Mon</v>
      </c>
      <c r="Q7" s="5" t="str">
        <f t="shared" si="0"/>
        <v>Tue</v>
      </c>
      <c r="R7" s="5" t="str">
        <f t="shared" si="0"/>
        <v>Wed</v>
      </c>
      <c r="S7" s="5" t="str">
        <f t="shared" si="0"/>
        <v>Thu</v>
      </c>
      <c r="T7" s="5" t="str">
        <f t="shared" si="0"/>
        <v>Fri</v>
      </c>
      <c r="U7" s="5" t="str">
        <f t="shared" si="0"/>
        <v>Sat</v>
      </c>
      <c r="V7" s="5" t="str">
        <f t="shared" si="0"/>
        <v>Sun</v>
      </c>
      <c r="W7" s="5" t="str">
        <f t="shared" si="0"/>
        <v>Mon</v>
      </c>
      <c r="X7" s="5" t="str">
        <f t="shared" si="0"/>
        <v>Tue</v>
      </c>
      <c r="Y7" s="5" t="str">
        <f t="shared" si="0"/>
        <v>Wed</v>
      </c>
      <c r="Z7" s="5" t="str">
        <f t="shared" si="0"/>
        <v>Thu</v>
      </c>
      <c r="AA7" s="5" t="str">
        <f t="shared" si="0"/>
        <v>Fri</v>
      </c>
      <c r="AB7" s="5" t="str">
        <f t="shared" si="0"/>
        <v>Sat</v>
      </c>
      <c r="AC7" s="5" t="str">
        <f t="shared" si="0"/>
        <v>Sun</v>
      </c>
      <c r="AD7" s="5" t="str">
        <f t="shared" si="0"/>
        <v>Mon</v>
      </c>
      <c r="AE7" s="5" t="str">
        <f t="shared" si="0"/>
        <v>Tue</v>
      </c>
      <c r="AF7" s="5" t="str">
        <f t="shared" si="0"/>
        <v>Wed</v>
      </c>
      <c r="AG7" s="5" t="str">
        <f t="shared" si="0"/>
        <v>Thu</v>
      </c>
      <c r="AH7" s="5" t="str">
        <f t="shared" si="0"/>
        <v>Fri</v>
      </c>
      <c r="AI7" s="5" t="str">
        <f t="shared" si="0"/>
        <v>Sat</v>
      </c>
      <c r="AJ7" s="5" t="str">
        <f t="shared" si="0"/>
        <v>Sun</v>
      </c>
      <c r="AK7" s="5" t="str">
        <f t="shared" si="0"/>
        <v>Mon</v>
      </c>
      <c r="AL7" s="5" t="str">
        <f t="shared" si="0"/>
        <v>Tue</v>
      </c>
      <c r="AM7" s="5" t="str">
        <f t="shared" si="0"/>
        <v>Wed</v>
      </c>
      <c r="AN7" s="5" t="str">
        <f t="shared" si="0"/>
        <v>Thu</v>
      </c>
      <c r="AO7" s="6" t="str">
        <f t="shared" si="0"/>
        <v>Fri</v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45931</v>
      </c>
      <c r="L8" s="23">
        <f t="shared" ref="L8:AO8" si="1">IF(K8&lt;$L$4,K8+1,"")</f>
        <v>45932</v>
      </c>
      <c r="M8" s="23">
        <f t="shared" si="1"/>
        <v>45933</v>
      </c>
      <c r="N8" s="23">
        <f t="shared" si="1"/>
        <v>45934</v>
      </c>
      <c r="O8" s="23">
        <f t="shared" si="1"/>
        <v>45935</v>
      </c>
      <c r="P8" s="23">
        <f t="shared" si="1"/>
        <v>45936</v>
      </c>
      <c r="Q8" s="23">
        <f t="shared" si="1"/>
        <v>45937</v>
      </c>
      <c r="R8" s="23">
        <f t="shared" si="1"/>
        <v>45938</v>
      </c>
      <c r="S8" s="23">
        <f t="shared" si="1"/>
        <v>45939</v>
      </c>
      <c r="T8" s="23">
        <f t="shared" si="1"/>
        <v>45940</v>
      </c>
      <c r="U8" s="23">
        <f t="shared" si="1"/>
        <v>45941</v>
      </c>
      <c r="V8" s="23">
        <f t="shared" si="1"/>
        <v>45942</v>
      </c>
      <c r="W8" s="23">
        <f t="shared" si="1"/>
        <v>45943</v>
      </c>
      <c r="X8" s="23">
        <f t="shared" si="1"/>
        <v>45944</v>
      </c>
      <c r="Y8" s="23">
        <f t="shared" si="1"/>
        <v>45945</v>
      </c>
      <c r="Z8" s="23">
        <f t="shared" si="1"/>
        <v>45946</v>
      </c>
      <c r="AA8" s="23">
        <f t="shared" si="1"/>
        <v>45947</v>
      </c>
      <c r="AB8" s="23">
        <f t="shared" si="1"/>
        <v>45948</v>
      </c>
      <c r="AC8" s="23">
        <f t="shared" si="1"/>
        <v>45949</v>
      </c>
      <c r="AD8" s="23">
        <f t="shared" si="1"/>
        <v>45950</v>
      </c>
      <c r="AE8" s="23">
        <f t="shared" si="1"/>
        <v>45951</v>
      </c>
      <c r="AF8" s="23">
        <f t="shared" si="1"/>
        <v>45952</v>
      </c>
      <c r="AG8" s="23">
        <f t="shared" si="1"/>
        <v>45953</v>
      </c>
      <c r="AH8" s="23">
        <f t="shared" si="1"/>
        <v>45954</v>
      </c>
      <c r="AI8" s="23">
        <f t="shared" si="1"/>
        <v>45955</v>
      </c>
      <c r="AJ8" s="23">
        <f t="shared" si="1"/>
        <v>45956</v>
      </c>
      <c r="AK8" s="23">
        <f t="shared" si="1"/>
        <v>45957</v>
      </c>
      <c r="AL8" s="23">
        <f t="shared" si="1"/>
        <v>45958</v>
      </c>
      <c r="AM8" s="23">
        <f t="shared" si="1"/>
        <v>45959</v>
      </c>
      <c r="AN8" s="23">
        <f t="shared" si="1"/>
        <v>45960</v>
      </c>
      <c r="AO8" s="24">
        <f t="shared" si="1"/>
        <v>45961</v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4</v>
      </c>
      <c r="K9" s="34" t="s">
        <v>45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42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42</v>
      </c>
      <c r="AO9" s="28" t="s">
        <v>46</v>
      </c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Oct</v>
      </c>
      <c r="AV9" s="11">
        <f t="shared" ref="AV9:AV28" si="3">COUNTIF($K9:$AO9,"P")</f>
        <v>21</v>
      </c>
      <c r="AW9" s="11">
        <f t="shared" ref="AW9:AW28" si="4">COUNTIF($K9:$AO9,"A")</f>
        <v>1</v>
      </c>
      <c r="AX9" s="11">
        <f t="shared" ref="AX9:AX28" si="5">COUNTIF($K9:$AO9,"L")</f>
        <v>5</v>
      </c>
      <c r="AY9" s="11">
        <f t="shared" ref="AY9:AY28" si="6">$J$9</f>
        <v>4</v>
      </c>
      <c r="AZ9" s="13">
        <f t="shared" ref="AZ9:AZ28" si="7">$I$4</f>
        <v>31</v>
      </c>
      <c r="BA9" s="13">
        <f>(octrepo[[#This Row],[Days]]-octrepo[[#This Row],[Absent]])</f>
        <v>30</v>
      </c>
      <c r="BB9" s="11">
        <f t="shared" ref="BB9:BB28" ca="1" si="8">RANDBETWEEN(10000,25000)</f>
        <v>20679</v>
      </c>
      <c r="BC9" s="13">
        <f ca="1">(octrepo[[#This Row],[Salary]]/octrepo[[#This Row],[Paid Days]])</f>
        <v>689.3</v>
      </c>
      <c r="BD9" s="13">
        <f ca="1">octrepo[[#This Row],[Salary]]*octrepo[[#This Row],[Absent]]</f>
        <v>20679</v>
      </c>
      <c r="BE9" s="13">
        <f ca="1">octrepo[[#This Row],[Salary]]-octrepo[[#This Row],[Deduction]]</f>
        <v>0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9">COUNTIF($K$7:$AO$7,"Sun")</f>
        <v>4</v>
      </c>
      <c r="K10" s="34" t="s">
        <v>42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42</v>
      </c>
      <c r="Q10" s="34" t="s">
        <v>42</v>
      </c>
      <c r="R10" s="34" t="s">
        <v>42</v>
      </c>
      <c r="S10" s="34" t="s">
        <v>42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45</v>
      </c>
      <c r="AN10" s="34" t="s">
        <v>42</v>
      </c>
      <c r="AO10" s="28" t="s">
        <v>46</v>
      </c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Oct</v>
      </c>
      <c r="AV10" s="11">
        <f t="shared" si="3"/>
        <v>21</v>
      </c>
      <c r="AW10" s="11">
        <f t="shared" si="4"/>
        <v>1</v>
      </c>
      <c r="AX10" s="11">
        <f t="shared" si="5"/>
        <v>5</v>
      </c>
      <c r="AY10" s="11">
        <f t="shared" si="6"/>
        <v>4</v>
      </c>
      <c r="AZ10" s="13">
        <f t="shared" si="7"/>
        <v>31</v>
      </c>
      <c r="BA10" s="13">
        <f>(octrepo[[#This Row],[Days]]-octrepo[[#This Row],[Absent]])</f>
        <v>30</v>
      </c>
      <c r="BB10" s="11">
        <f t="shared" ca="1" si="8"/>
        <v>22897</v>
      </c>
      <c r="BC10" s="13">
        <f ca="1">(octrepo[[#This Row],[Salary]]/octrepo[[#This Row],[Paid Days]])</f>
        <v>763.23333333333335</v>
      </c>
      <c r="BD10" s="13">
        <f ca="1">octrepo[[#This Row],[Salary]]*octrepo[[#This Row],[Absent]]</f>
        <v>22897</v>
      </c>
      <c r="BE10" s="13">
        <f ca="1">octrepo[[#This Row],[Salary]]-octrepo[[#This Row],[Deduction]]</f>
        <v>0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9"/>
        <v>4</v>
      </c>
      <c r="K11" s="34" t="s">
        <v>42</v>
      </c>
      <c r="L11" s="34" t="s">
        <v>42</v>
      </c>
      <c r="M11" s="34" t="s">
        <v>42</v>
      </c>
      <c r="N11" s="34" t="s">
        <v>46</v>
      </c>
      <c r="O11" s="34" t="s">
        <v>44</v>
      </c>
      <c r="P11" s="34" t="s">
        <v>42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42</v>
      </c>
      <c r="X11" s="34" t="s">
        <v>42</v>
      </c>
      <c r="Y11" s="34" t="s">
        <v>45</v>
      </c>
      <c r="Z11" s="34" t="s">
        <v>42</v>
      </c>
      <c r="AA11" s="34" t="s">
        <v>42</v>
      </c>
      <c r="AB11" s="34" t="s">
        <v>46</v>
      </c>
      <c r="AC11" s="34" t="s">
        <v>44</v>
      </c>
      <c r="AD11" s="34" t="s">
        <v>45</v>
      </c>
      <c r="AE11" s="34" t="s">
        <v>42</v>
      </c>
      <c r="AF11" s="34" t="s">
        <v>42</v>
      </c>
      <c r="AG11" s="34" t="s">
        <v>42</v>
      </c>
      <c r="AH11" s="34" t="s">
        <v>45</v>
      </c>
      <c r="AI11" s="34" t="s">
        <v>46</v>
      </c>
      <c r="AJ11" s="34" t="s">
        <v>44</v>
      </c>
      <c r="AK11" s="34" t="s">
        <v>42</v>
      </c>
      <c r="AL11" s="34" t="s">
        <v>42</v>
      </c>
      <c r="AM11" s="34" t="s">
        <v>42</v>
      </c>
      <c r="AN11" s="34" t="s">
        <v>42</v>
      </c>
      <c r="AO11" s="28" t="s">
        <v>46</v>
      </c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Oct</v>
      </c>
      <c r="AV11" s="11">
        <f t="shared" si="3"/>
        <v>19</v>
      </c>
      <c r="AW11" s="11">
        <f t="shared" si="4"/>
        <v>3</v>
      </c>
      <c r="AX11" s="11">
        <f t="shared" si="5"/>
        <v>5</v>
      </c>
      <c r="AY11" s="11">
        <f t="shared" si="6"/>
        <v>4</v>
      </c>
      <c r="AZ11" s="13">
        <f t="shared" si="7"/>
        <v>31</v>
      </c>
      <c r="BA11" s="13">
        <f>(octrepo[[#This Row],[Days]]-octrepo[[#This Row],[Absent]])</f>
        <v>28</v>
      </c>
      <c r="BB11" s="11">
        <f t="shared" ca="1" si="8"/>
        <v>24841</v>
      </c>
      <c r="BC11" s="13">
        <f ca="1">(octrepo[[#This Row],[Salary]]/octrepo[[#This Row],[Paid Days]])</f>
        <v>887.17857142857144</v>
      </c>
      <c r="BD11" s="13">
        <f ca="1">octrepo[[#This Row],[Salary]]*octrepo[[#This Row],[Absent]]</f>
        <v>74523</v>
      </c>
      <c r="BE11" s="13">
        <f ca="1">octrepo[[#This Row],[Salary]]-octrepo[[#This Row],[Deduction]]</f>
        <v>-49682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9"/>
        <v>4</v>
      </c>
      <c r="K12" s="34" t="s">
        <v>42</v>
      </c>
      <c r="L12" s="34" t="s">
        <v>42</v>
      </c>
      <c r="M12" s="34" t="s">
        <v>42</v>
      </c>
      <c r="N12" s="34" t="s">
        <v>46</v>
      </c>
      <c r="O12" s="34" t="s">
        <v>44</v>
      </c>
      <c r="P12" s="34" t="s">
        <v>42</v>
      </c>
      <c r="Q12" s="34" t="s">
        <v>42</v>
      </c>
      <c r="R12" s="34" t="s">
        <v>42</v>
      </c>
      <c r="S12" s="34" t="s">
        <v>42</v>
      </c>
      <c r="T12" s="34" t="s">
        <v>42</v>
      </c>
      <c r="U12" s="34" t="s">
        <v>46</v>
      </c>
      <c r="V12" s="34" t="s">
        <v>44</v>
      </c>
      <c r="W12" s="34" t="s">
        <v>42</v>
      </c>
      <c r="X12" s="34" t="s">
        <v>42</v>
      </c>
      <c r="Y12" s="34" t="s">
        <v>45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42</v>
      </c>
      <c r="AE12" s="34" t="s">
        <v>42</v>
      </c>
      <c r="AF12" s="34" t="s">
        <v>42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45</v>
      </c>
      <c r="AL12" s="34" t="s">
        <v>42</v>
      </c>
      <c r="AM12" s="34" t="s">
        <v>42</v>
      </c>
      <c r="AN12" s="34" t="s">
        <v>42</v>
      </c>
      <c r="AO12" s="28" t="s">
        <v>46</v>
      </c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Oct</v>
      </c>
      <c r="AV12" s="11">
        <f t="shared" si="3"/>
        <v>20</v>
      </c>
      <c r="AW12" s="11">
        <f t="shared" si="4"/>
        <v>2</v>
      </c>
      <c r="AX12" s="11">
        <f t="shared" si="5"/>
        <v>5</v>
      </c>
      <c r="AY12" s="11">
        <f t="shared" si="6"/>
        <v>4</v>
      </c>
      <c r="AZ12" s="13">
        <f t="shared" si="7"/>
        <v>31</v>
      </c>
      <c r="BA12" s="13">
        <f>(octrepo[[#This Row],[Days]]-octrepo[[#This Row],[Absent]])</f>
        <v>29</v>
      </c>
      <c r="BB12" s="11">
        <f t="shared" ca="1" si="8"/>
        <v>16162</v>
      </c>
      <c r="BC12" s="13">
        <f ca="1">(octrepo[[#This Row],[Salary]]/octrepo[[#This Row],[Paid Days]])</f>
        <v>557.31034482758616</v>
      </c>
      <c r="BD12" s="13">
        <f ca="1">octrepo[[#This Row],[Salary]]*octrepo[[#This Row],[Absent]]</f>
        <v>32324</v>
      </c>
      <c r="BE12" s="13">
        <f ca="1">octrepo[[#This Row],[Salary]]-octrepo[[#This Row],[Deduction]]</f>
        <v>-16162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9"/>
        <v>4</v>
      </c>
      <c r="K13" s="34" t="s">
        <v>42</v>
      </c>
      <c r="L13" s="34" t="s">
        <v>42</v>
      </c>
      <c r="M13" s="34" t="s">
        <v>42</v>
      </c>
      <c r="N13" s="34" t="s">
        <v>46</v>
      </c>
      <c r="O13" s="34" t="s">
        <v>44</v>
      </c>
      <c r="P13" s="34" t="s">
        <v>45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42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42</v>
      </c>
      <c r="AN13" s="34" t="s">
        <v>42</v>
      </c>
      <c r="AO13" s="28" t="s">
        <v>46</v>
      </c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Oct</v>
      </c>
      <c r="AV13" s="11">
        <f t="shared" si="3"/>
        <v>21</v>
      </c>
      <c r="AW13" s="11">
        <f t="shared" si="4"/>
        <v>1</v>
      </c>
      <c r="AX13" s="11">
        <f t="shared" si="5"/>
        <v>5</v>
      </c>
      <c r="AY13" s="11">
        <f t="shared" si="6"/>
        <v>4</v>
      </c>
      <c r="AZ13" s="13">
        <f t="shared" si="7"/>
        <v>31</v>
      </c>
      <c r="BA13" s="13">
        <f>(octrepo[[#This Row],[Days]]-octrepo[[#This Row],[Absent]])</f>
        <v>30</v>
      </c>
      <c r="BB13" s="11">
        <f t="shared" ca="1" si="8"/>
        <v>19536</v>
      </c>
      <c r="BC13" s="13">
        <f ca="1">(octrepo[[#This Row],[Salary]]/octrepo[[#This Row],[Paid Days]])</f>
        <v>651.20000000000005</v>
      </c>
      <c r="BD13" s="13">
        <f ca="1">octrepo[[#This Row],[Salary]]*octrepo[[#This Row],[Absent]]</f>
        <v>19536</v>
      </c>
      <c r="BE13" s="13">
        <f ca="1">octrepo[[#This Row],[Salary]]-octrepo[[#This Row],[Deduction]]</f>
        <v>0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9"/>
        <v>4</v>
      </c>
      <c r="K14" s="34" t="s">
        <v>45</v>
      </c>
      <c r="L14" s="34" t="s">
        <v>42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42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42</v>
      </c>
      <c r="AL14" s="34" t="s">
        <v>42</v>
      </c>
      <c r="AM14" s="34" t="s">
        <v>42</v>
      </c>
      <c r="AN14" s="34" t="s">
        <v>42</v>
      </c>
      <c r="AO14" s="28" t="s">
        <v>46</v>
      </c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Oct</v>
      </c>
      <c r="AV14" s="11">
        <f t="shared" si="3"/>
        <v>21</v>
      </c>
      <c r="AW14" s="11">
        <f t="shared" si="4"/>
        <v>1</v>
      </c>
      <c r="AX14" s="11">
        <f t="shared" si="5"/>
        <v>5</v>
      </c>
      <c r="AY14" s="11">
        <f t="shared" si="6"/>
        <v>4</v>
      </c>
      <c r="AZ14" s="13">
        <f t="shared" si="7"/>
        <v>31</v>
      </c>
      <c r="BA14" s="13">
        <f>(octrepo[[#This Row],[Days]]-octrepo[[#This Row],[Absent]])</f>
        <v>30</v>
      </c>
      <c r="BB14" s="11">
        <f t="shared" ca="1" si="8"/>
        <v>11605</v>
      </c>
      <c r="BC14" s="13">
        <f ca="1">(octrepo[[#This Row],[Salary]]/octrepo[[#This Row],[Paid Days]])</f>
        <v>386.83333333333331</v>
      </c>
      <c r="BD14" s="13">
        <f ca="1">octrepo[[#This Row],[Salary]]*octrepo[[#This Row],[Absent]]</f>
        <v>11605</v>
      </c>
      <c r="BE14" s="13">
        <f ca="1">octrepo[[#This Row],[Salary]]-octrepo[[#This Row],[Deduction]]</f>
        <v>0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9"/>
        <v>4</v>
      </c>
      <c r="K15" s="34" t="s">
        <v>42</v>
      </c>
      <c r="L15" s="34" t="s">
        <v>42</v>
      </c>
      <c r="M15" s="34" t="s">
        <v>42</v>
      </c>
      <c r="N15" s="34" t="s">
        <v>46</v>
      </c>
      <c r="O15" s="34" t="s">
        <v>44</v>
      </c>
      <c r="P15" s="34" t="s">
        <v>42</v>
      </c>
      <c r="Q15" s="34" t="s">
        <v>42</v>
      </c>
      <c r="R15" s="34" t="s">
        <v>42</v>
      </c>
      <c r="S15" s="34" t="s">
        <v>45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42</v>
      </c>
      <c r="Y15" s="34" t="s">
        <v>42</v>
      </c>
      <c r="Z15" s="34" t="s">
        <v>45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42</v>
      </c>
      <c r="AF15" s="34" t="s">
        <v>42</v>
      </c>
      <c r="AG15" s="34" t="s">
        <v>42</v>
      </c>
      <c r="AH15" s="34" t="s">
        <v>45</v>
      </c>
      <c r="AI15" s="34" t="s">
        <v>46</v>
      </c>
      <c r="AJ15" s="34" t="s">
        <v>44</v>
      </c>
      <c r="AK15" s="34" t="s">
        <v>42</v>
      </c>
      <c r="AL15" s="34" t="s">
        <v>42</v>
      </c>
      <c r="AM15" s="34" t="s">
        <v>42</v>
      </c>
      <c r="AN15" s="34" t="s">
        <v>42</v>
      </c>
      <c r="AO15" s="28" t="s">
        <v>46</v>
      </c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Oct</v>
      </c>
      <c r="AV15" s="11">
        <f t="shared" si="3"/>
        <v>19</v>
      </c>
      <c r="AW15" s="11">
        <f t="shared" si="4"/>
        <v>3</v>
      </c>
      <c r="AX15" s="11">
        <f t="shared" si="5"/>
        <v>5</v>
      </c>
      <c r="AY15" s="11">
        <f t="shared" si="6"/>
        <v>4</v>
      </c>
      <c r="AZ15" s="13">
        <f t="shared" si="7"/>
        <v>31</v>
      </c>
      <c r="BA15" s="13">
        <f>(octrepo[[#This Row],[Days]]-octrepo[[#This Row],[Absent]])</f>
        <v>28</v>
      </c>
      <c r="BB15" s="11">
        <f t="shared" ca="1" si="8"/>
        <v>19791</v>
      </c>
      <c r="BC15" s="13">
        <f ca="1">(octrepo[[#This Row],[Salary]]/octrepo[[#This Row],[Paid Days]])</f>
        <v>706.82142857142856</v>
      </c>
      <c r="BD15" s="13">
        <f ca="1">octrepo[[#This Row],[Salary]]*octrepo[[#This Row],[Absent]]</f>
        <v>59373</v>
      </c>
      <c r="BE15" s="13">
        <f ca="1">octrepo[[#This Row],[Salary]]-octrepo[[#This Row],[Deduction]]</f>
        <v>-39582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9"/>
        <v>4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42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42</v>
      </c>
      <c r="AH16" s="34" t="s">
        <v>45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42</v>
      </c>
      <c r="AO16" s="28" t="s">
        <v>46</v>
      </c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Oct</v>
      </c>
      <c r="AV16" s="11">
        <f t="shared" si="3"/>
        <v>21</v>
      </c>
      <c r="AW16" s="11">
        <f t="shared" si="4"/>
        <v>1</v>
      </c>
      <c r="AX16" s="11">
        <f t="shared" si="5"/>
        <v>5</v>
      </c>
      <c r="AY16" s="11">
        <f t="shared" si="6"/>
        <v>4</v>
      </c>
      <c r="AZ16" s="13">
        <f t="shared" si="7"/>
        <v>31</v>
      </c>
      <c r="BA16" s="13">
        <f>(octrepo[[#This Row],[Days]]-octrepo[[#This Row],[Absent]])</f>
        <v>30</v>
      </c>
      <c r="BB16" s="11">
        <f t="shared" ca="1" si="8"/>
        <v>24504</v>
      </c>
      <c r="BC16" s="13">
        <f ca="1">(octrepo[[#This Row],[Salary]]/octrepo[[#This Row],[Paid Days]])</f>
        <v>816.8</v>
      </c>
      <c r="BD16" s="13">
        <f ca="1">octrepo[[#This Row],[Salary]]*octrepo[[#This Row],[Absent]]</f>
        <v>24504</v>
      </c>
      <c r="BE16" s="13">
        <f ca="1">octrepo[[#This Row],[Salary]]-octrepo[[#This Row],[Deduction]]</f>
        <v>0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9"/>
        <v>4</v>
      </c>
      <c r="K17" s="34" t="s">
        <v>42</v>
      </c>
      <c r="L17" s="34" t="s">
        <v>45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42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42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42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45</v>
      </c>
      <c r="AO17" s="28" t="s">
        <v>46</v>
      </c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Oct</v>
      </c>
      <c r="AV17" s="11">
        <f t="shared" si="3"/>
        <v>20</v>
      </c>
      <c r="AW17" s="11">
        <f t="shared" si="4"/>
        <v>2</v>
      </c>
      <c r="AX17" s="11">
        <f t="shared" si="5"/>
        <v>5</v>
      </c>
      <c r="AY17" s="11">
        <f t="shared" si="6"/>
        <v>4</v>
      </c>
      <c r="AZ17" s="13">
        <f t="shared" si="7"/>
        <v>31</v>
      </c>
      <c r="BA17" s="13">
        <f>(octrepo[[#This Row],[Days]]-octrepo[[#This Row],[Absent]])</f>
        <v>29</v>
      </c>
      <c r="BB17" s="11">
        <f t="shared" ca="1" si="8"/>
        <v>12213</v>
      </c>
      <c r="BC17" s="13">
        <f ca="1">(octrepo[[#This Row],[Salary]]/octrepo[[#This Row],[Paid Days]])</f>
        <v>421.13793103448273</v>
      </c>
      <c r="BD17" s="13">
        <f ca="1">octrepo[[#This Row],[Salary]]*octrepo[[#This Row],[Absent]]</f>
        <v>24426</v>
      </c>
      <c r="BE17" s="13">
        <f ca="1">octrepo[[#This Row],[Salary]]-octrepo[[#This Row],[Deduction]]</f>
        <v>-12213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9"/>
        <v>4</v>
      </c>
      <c r="K18" s="34" t="s">
        <v>42</v>
      </c>
      <c r="L18" s="34" t="s">
        <v>42</v>
      </c>
      <c r="M18" s="34" t="s">
        <v>42</v>
      </c>
      <c r="N18" s="34" t="s">
        <v>46</v>
      </c>
      <c r="O18" s="34" t="s">
        <v>44</v>
      </c>
      <c r="P18" s="34" t="s">
        <v>42</v>
      </c>
      <c r="Q18" s="34" t="s">
        <v>45</v>
      </c>
      <c r="R18" s="34" t="s">
        <v>42</v>
      </c>
      <c r="S18" s="34" t="s">
        <v>42</v>
      </c>
      <c r="T18" s="34" t="s">
        <v>42</v>
      </c>
      <c r="U18" s="34" t="s">
        <v>46</v>
      </c>
      <c r="V18" s="34" t="s">
        <v>44</v>
      </c>
      <c r="W18" s="34" t="s">
        <v>42</v>
      </c>
      <c r="X18" s="34" t="s">
        <v>45</v>
      </c>
      <c r="Y18" s="34" t="s">
        <v>42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42</v>
      </c>
      <c r="AF18" s="34" t="s">
        <v>45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42</v>
      </c>
      <c r="AO18" s="28" t="s">
        <v>46</v>
      </c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Oct</v>
      </c>
      <c r="AV18" s="11">
        <f t="shared" si="3"/>
        <v>19</v>
      </c>
      <c r="AW18" s="11">
        <f t="shared" si="4"/>
        <v>3</v>
      </c>
      <c r="AX18" s="11">
        <f t="shared" si="5"/>
        <v>5</v>
      </c>
      <c r="AY18" s="11">
        <f t="shared" si="6"/>
        <v>4</v>
      </c>
      <c r="AZ18" s="13">
        <f t="shared" si="7"/>
        <v>31</v>
      </c>
      <c r="BA18" s="13">
        <f>(octrepo[[#This Row],[Days]]-octrepo[[#This Row],[Absent]])</f>
        <v>28</v>
      </c>
      <c r="BB18" s="11">
        <f t="shared" ca="1" si="8"/>
        <v>22173</v>
      </c>
      <c r="BC18" s="13">
        <f ca="1">(octrepo[[#This Row],[Salary]]/octrepo[[#This Row],[Paid Days]])</f>
        <v>791.89285714285711</v>
      </c>
      <c r="BD18" s="13">
        <f ca="1">octrepo[[#This Row],[Salary]]*octrepo[[#This Row],[Absent]]</f>
        <v>66519</v>
      </c>
      <c r="BE18" s="13">
        <f ca="1">octrepo[[#This Row],[Salary]]-octrepo[[#This Row],[Deduction]]</f>
        <v>-44346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9"/>
        <v>4</v>
      </c>
      <c r="K19" s="34" t="s">
        <v>42</v>
      </c>
      <c r="L19" s="34" t="s">
        <v>42</v>
      </c>
      <c r="M19" s="34" t="s">
        <v>42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42</v>
      </c>
      <c r="T19" s="34" t="s">
        <v>42</v>
      </c>
      <c r="U19" s="34" t="s">
        <v>46</v>
      </c>
      <c r="V19" s="34" t="s">
        <v>44</v>
      </c>
      <c r="W19" s="34" t="s">
        <v>42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42</v>
      </c>
      <c r="AN19" s="34" t="s">
        <v>42</v>
      </c>
      <c r="AO19" s="28" t="s">
        <v>46</v>
      </c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Oct</v>
      </c>
      <c r="AV19" s="11">
        <f t="shared" si="3"/>
        <v>22</v>
      </c>
      <c r="AW19" s="11">
        <f t="shared" si="4"/>
        <v>0</v>
      </c>
      <c r="AX19" s="11">
        <f t="shared" si="5"/>
        <v>5</v>
      </c>
      <c r="AY19" s="11">
        <f t="shared" si="6"/>
        <v>4</v>
      </c>
      <c r="AZ19" s="13">
        <f t="shared" si="7"/>
        <v>31</v>
      </c>
      <c r="BA19" s="13">
        <f>(octrepo[[#This Row],[Days]]-octrepo[[#This Row],[Absent]])</f>
        <v>31</v>
      </c>
      <c r="BB19" s="11">
        <f t="shared" ca="1" si="8"/>
        <v>11588</v>
      </c>
      <c r="BC19" s="13">
        <f ca="1">(octrepo[[#This Row],[Salary]]/octrepo[[#This Row],[Paid Days]])</f>
        <v>373.80645161290323</v>
      </c>
      <c r="BD19" s="13">
        <f ca="1">octrepo[[#This Row],[Salary]]*octrepo[[#This Row],[Absent]]</f>
        <v>0</v>
      </c>
      <c r="BE19" s="13">
        <f ca="1">octrepo[[#This Row],[Salary]]-octrepo[[#This Row],[Deduction]]</f>
        <v>11588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9"/>
        <v>4</v>
      </c>
      <c r="K20" s="34" t="s">
        <v>42</v>
      </c>
      <c r="L20" s="34" t="s">
        <v>42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42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42</v>
      </c>
      <c r="X20" s="34" t="s">
        <v>42</v>
      </c>
      <c r="Y20" s="34" t="s">
        <v>42</v>
      </c>
      <c r="Z20" s="34" t="s">
        <v>42</v>
      </c>
      <c r="AA20" s="34" t="s">
        <v>42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42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42</v>
      </c>
      <c r="AN20" s="34" t="s">
        <v>42</v>
      </c>
      <c r="AO20" s="28" t="s">
        <v>46</v>
      </c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Oct</v>
      </c>
      <c r="AV20" s="11">
        <f t="shared" si="3"/>
        <v>22</v>
      </c>
      <c r="AW20" s="11">
        <f t="shared" si="4"/>
        <v>0</v>
      </c>
      <c r="AX20" s="11">
        <f t="shared" si="5"/>
        <v>5</v>
      </c>
      <c r="AY20" s="11">
        <f t="shared" si="6"/>
        <v>4</v>
      </c>
      <c r="AZ20" s="13">
        <f t="shared" si="7"/>
        <v>31</v>
      </c>
      <c r="BA20" s="13">
        <f>(octrepo[[#This Row],[Days]]-octrepo[[#This Row],[Absent]])</f>
        <v>31</v>
      </c>
      <c r="BB20" s="11">
        <f t="shared" ca="1" si="8"/>
        <v>18662</v>
      </c>
      <c r="BC20" s="13">
        <f ca="1">(octrepo[[#This Row],[Salary]]/octrepo[[#This Row],[Paid Days]])</f>
        <v>602</v>
      </c>
      <c r="BD20" s="13">
        <f ca="1">octrepo[[#This Row],[Salary]]*octrepo[[#This Row],[Absent]]</f>
        <v>0</v>
      </c>
      <c r="BE20" s="13">
        <f ca="1">octrepo[[#This Row],[Salary]]-octrepo[[#This Row],[Deduction]]</f>
        <v>18662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9"/>
        <v>4</v>
      </c>
      <c r="K21" s="34" t="s">
        <v>42</v>
      </c>
      <c r="L21" s="34" t="s">
        <v>42</v>
      </c>
      <c r="M21" s="34" t="s">
        <v>42</v>
      </c>
      <c r="N21" s="34" t="s">
        <v>46</v>
      </c>
      <c r="O21" s="34" t="s">
        <v>44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42</v>
      </c>
      <c r="U21" s="34" t="s">
        <v>46</v>
      </c>
      <c r="V21" s="34" t="s">
        <v>44</v>
      </c>
      <c r="W21" s="34" t="s">
        <v>42</v>
      </c>
      <c r="X21" s="34" t="s">
        <v>42</v>
      </c>
      <c r="Y21" s="34" t="s">
        <v>42</v>
      </c>
      <c r="Z21" s="34" t="s">
        <v>42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42</v>
      </c>
      <c r="AO21" s="28" t="s">
        <v>46</v>
      </c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Oct</v>
      </c>
      <c r="AV21" s="11">
        <f t="shared" si="3"/>
        <v>22</v>
      </c>
      <c r="AW21" s="11">
        <f t="shared" si="4"/>
        <v>0</v>
      </c>
      <c r="AX21" s="11">
        <f t="shared" si="5"/>
        <v>5</v>
      </c>
      <c r="AY21" s="11">
        <f t="shared" si="6"/>
        <v>4</v>
      </c>
      <c r="AZ21" s="13">
        <f t="shared" si="7"/>
        <v>31</v>
      </c>
      <c r="BA21" s="13">
        <f>(octrepo[[#This Row],[Days]]-octrepo[[#This Row],[Absent]])</f>
        <v>31</v>
      </c>
      <c r="BB21" s="11">
        <f t="shared" ca="1" si="8"/>
        <v>18087</v>
      </c>
      <c r="BC21" s="13">
        <f ca="1">(octrepo[[#This Row],[Salary]]/octrepo[[#This Row],[Paid Days]])</f>
        <v>583.45161290322585</v>
      </c>
      <c r="BD21" s="13">
        <f ca="1">octrepo[[#This Row],[Salary]]*octrepo[[#This Row],[Absent]]</f>
        <v>0</v>
      </c>
      <c r="BE21" s="13">
        <f ca="1">octrepo[[#This Row],[Salary]]-octrepo[[#This Row],[Deduction]]</f>
        <v>18087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9"/>
        <v>4</v>
      </c>
      <c r="K22" s="34" t="s">
        <v>42</v>
      </c>
      <c r="L22" s="34" t="s">
        <v>42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42</v>
      </c>
      <c r="AL22" s="34" t="s">
        <v>42</v>
      </c>
      <c r="AM22" s="34" t="s">
        <v>42</v>
      </c>
      <c r="AN22" s="34" t="s">
        <v>42</v>
      </c>
      <c r="AO22" s="28" t="s">
        <v>46</v>
      </c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Oct</v>
      </c>
      <c r="AV22" s="11">
        <f t="shared" si="3"/>
        <v>22</v>
      </c>
      <c r="AW22" s="11">
        <f t="shared" si="4"/>
        <v>0</v>
      </c>
      <c r="AX22" s="11">
        <f t="shared" si="5"/>
        <v>5</v>
      </c>
      <c r="AY22" s="11">
        <f t="shared" si="6"/>
        <v>4</v>
      </c>
      <c r="AZ22" s="13">
        <f t="shared" si="7"/>
        <v>31</v>
      </c>
      <c r="BA22" s="13">
        <f>(octrepo[[#This Row],[Days]]-octrepo[[#This Row],[Absent]])</f>
        <v>31</v>
      </c>
      <c r="BB22" s="11">
        <f t="shared" ca="1" si="8"/>
        <v>23702</v>
      </c>
      <c r="BC22" s="13">
        <f ca="1">(octrepo[[#This Row],[Salary]]/octrepo[[#This Row],[Paid Days]])</f>
        <v>764.58064516129036</v>
      </c>
      <c r="BD22" s="13">
        <f ca="1">octrepo[[#This Row],[Salary]]*octrepo[[#This Row],[Absent]]</f>
        <v>0</v>
      </c>
      <c r="BE22" s="13">
        <f ca="1">octrepo[[#This Row],[Salary]]-octrepo[[#This Row],[Deduction]]</f>
        <v>23702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9"/>
        <v>4</v>
      </c>
      <c r="K23" s="34" t="s">
        <v>42</v>
      </c>
      <c r="L23" s="34" t="s">
        <v>42</v>
      </c>
      <c r="M23" s="34" t="s">
        <v>42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42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42</v>
      </c>
      <c r="AL23" s="34" t="s">
        <v>45</v>
      </c>
      <c r="AM23" s="34" t="s">
        <v>42</v>
      </c>
      <c r="AN23" s="34" t="s">
        <v>42</v>
      </c>
      <c r="AO23" s="28" t="s">
        <v>46</v>
      </c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Oct</v>
      </c>
      <c r="AV23" s="11">
        <f t="shared" si="3"/>
        <v>21</v>
      </c>
      <c r="AW23" s="11">
        <f t="shared" si="4"/>
        <v>1</v>
      </c>
      <c r="AX23" s="11">
        <f t="shared" si="5"/>
        <v>5</v>
      </c>
      <c r="AY23" s="11">
        <f t="shared" si="6"/>
        <v>4</v>
      </c>
      <c r="AZ23" s="13">
        <f t="shared" si="7"/>
        <v>31</v>
      </c>
      <c r="BA23" s="13">
        <f>(octrepo[[#This Row],[Days]]-octrepo[[#This Row],[Absent]])</f>
        <v>30</v>
      </c>
      <c r="BB23" s="11">
        <f t="shared" ca="1" si="8"/>
        <v>16919</v>
      </c>
      <c r="BC23" s="13">
        <f ca="1">(octrepo[[#This Row],[Salary]]/octrepo[[#This Row],[Paid Days]])</f>
        <v>563.9666666666667</v>
      </c>
      <c r="BD23" s="13">
        <f ca="1">octrepo[[#This Row],[Salary]]*octrepo[[#This Row],[Absent]]</f>
        <v>16919</v>
      </c>
      <c r="BE23" s="13">
        <f ca="1">octrepo[[#This Row],[Salary]]-octrepo[[#This Row],[Deduction]]</f>
        <v>0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9"/>
        <v>4</v>
      </c>
      <c r="K24" s="34" t="s">
        <v>42</v>
      </c>
      <c r="L24" s="34" t="s">
        <v>42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42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45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45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42</v>
      </c>
      <c r="AN24" s="34" t="s">
        <v>42</v>
      </c>
      <c r="AO24" s="28" t="s">
        <v>46</v>
      </c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Oct</v>
      </c>
      <c r="AV24" s="11">
        <f t="shared" si="3"/>
        <v>20</v>
      </c>
      <c r="AW24" s="11">
        <f t="shared" si="4"/>
        <v>2</v>
      </c>
      <c r="AX24" s="11">
        <f t="shared" si="5"/>
        <v>5</v>
      </c>
      <c r="AY24" s="11">
        <f t="shared" si="6"/>
        <v>4</v>
      </c>
      <c r="AZ24" s="13">
        <f t="shared" si="7"/>
        <v>31</v>
      </c>
      <c r="BA24" s="13">
        <f>(octrepo[[#This Row],[Days]]-octrepo[[#This Row],[Absent]])</f>
        <v>29</v>
      </c>
      <c r="BB24" s="11">
        <f t="shared" ca="1" si="8"/>
        <v>12559</v>
      </c>
      <c r="BC24" s="13">
        <f ca="1">(octrepo[[#This Row],[Salary]]/octrepo[[#This Row],[Paid Days]])</f>
        <v>433.06896551724139</v>
      </c>
      <c r="BD24" s="13">
        <f ca="1">octrepo[[#This Row],[Salary]]*octrepo[[#This Row],[Absent]]</f>
        <v>25118</v>
      </c>
      <c r="BE24" s="13">
        <f ca="1">octrepo[[#This Row],[Salary]]-octrepo[[#This Row],[Deduction]]</f>
        <v>-12559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9"/>
        <v>4</v>
      </c>
      <c r="K25" s="34" t="s">
        <v>42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42</v>
      </c>
      <c r="Q25" s="34" t="s">
        <v>42</v>
      </c>
      <c r="R25" s="34" t="s">
        <v>42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42</v>
      </c>
      <c r="Z25" s="34" t="s">
        <v>42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42</v>
      </c>
      <c r="AG25" s="34" t="s">
        <v>42</v>
      </c>
      <c r="AH25" s="34" t="s">
        <v>42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42</v>
      </c>
      <c r="AO25" s="28" t="s">
        <v>46</v>
      </c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Oct</v>
      </c>
      <c r="AV25" s="11">
        <f t="shared" si="3"/>
        <v>22</v>
      </c>
      <c r="AW25" s="11">
        <f t="shared" si="4"/>
        <v>0</v>
      </c>
      <c r="AX25" s="11">
        <f t="shared" si="5"/>
        <v>5</v>
      </c>
      <c r="AY25" s="11">
        <f t="shared" si="6"/>
        <v>4</v>
      </c>
      <c r="AZ25" s="13">
        <f t="shared" si="7"/>
        <v>31</v>
      </c>
      <c r="BA25" s="13">
        <f>(octrepo[[#This Row],[Days]]-octrepo[[#This Row],[Absent]])</f>
        <v>31</v>
      </c>
      <c r="BB25" s="11">
        <f t="shared" ca="1" si="8"/>
        <v>20026</v>
      </c>
      <c r="BC25" s="13">
        <f ca="1">(octrepo[[#This Row],[Salary]]/octrepo[[#This Row],[Paid Days]])</f>
        <v>646</v>
      </c>
      <c r="BD25" s="13">
        <f ca="1">octrepo[[#This Row],[Salary]]*octrepo[[#This Row],[Absent]]</f>
        <v>0</v>
      </c>
      <c r="BE25" s="13">
        <f ca="1">octrepo[[#This Row],[Salary]]-octrepo[[#This Row],[Deduction]]</f>
        <v>20026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9"/>
        <v>4</v>
      </c>
      <c r="K26" s="34" t="s">
        <v>42</v>
      </c>
      <c r="L26" s="34" t="s">
        <v>45</v>
      </c>
      <c r="M26" s="34" t="s">
        <v>42</v>
      </c>
      <c r="N26" s="34" t="s">
        <v>46</v>
      </c>
      <c r="O26" s="34" t="s">
        <v>44</v>
      </c>
      <c r="P26" s="34" t="s">
        <v>42</v>
      </c>
      <c r="Q26" s="34" t="s">
        <v>42</v>
      </c>
      <c r="R26" s="34" t="s">
        <v>42</v>
      </c>
      <c r="S26" s="34" t="s">
        <v>45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42</v>
      </c>
      <c r="Y26" s="34" t="s">
        <v>42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42</v>
      </c>
      <c r="AM26" s="34" t="s">
        <v>42</v>
      </c>
      <c r="AN26" s="34" t="s">
        <v>45</v>
      </c>
      <c r="AO26" s="28" t="s">
        <v>46</v>
      </c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Oct</v>
      </c>
      <c r="AV26" s="11">
        <f t="shared" si="3"/>
        <v>19</v>
      </c>
      <c r="AW26" s="11">
        <f t="shared" si="4"/>
        <v>3</v>
      </c>
      <c r="AX26" s="11">
        <f t="shared" si="5"/>
        <v>5</v>
      </c>
      <c r="AY26" s="11">
        <f t="shared" si="6"/>
        <v>4</v>
      </c>
      <c r="AZ26" s="13">
        <f t="shared" si="7"/>
        <v>31</v>
      </c>
      <c r="BA26" s="13">
        <f>(octrepo[[#This Row],[Days]]-octrepo[[#This Row],[Absent]])</f>
        <v>28</v>
      </c>
      <c r="BB26" s="11">
        <f t="shared" ca="1" si="8"/>
        <v>13103</v>
      </c>
      <c r="BC26" s="13">
        <f ca="1">(octrepo[[#This Row],[Salary]]/octrepo[[#This Row],[Paid Days]])</f>
        <v>467.96428571428572</v>
      </c>
      <c r="BD26" s="13">
        <f ca="1">octrepo[[#This Row],[Salary]]*octrepo[[#This Row],[Absent]]</f>
        <v>39309</v>
      </c>
      <c r="BE26" s="13">
        <f ca="1">octrepo[[#This Row],[Salary]]-octrepo[[#This Row],[Deduction]]</f>
        <v>-26206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9"/>
        <v>4</v>
      </c>
      <c r="K27" s="34" t="s">
        <v>42</v>
      </c>
      <c r="L27" s="34" t="s">
        <v>42</v>
      </c>
      <c r="M27" s="34" t="s">
        <v>42</v>
      </c>
      <c r="N27" s="34" t="s">
        <v>46</v>
      </c>
      <c r="O27" s="34" t="s">
        <v>44</v>
      </c>
      <c r="P27" s="34" t="s">
        <v>42</v>
      </c>
      <c r="Q27" s="34" t="s">
        <v>42</v>
      </c>
      <c r="R27" s="34" t="s">
        <v>42</v>
      </c>
      <c r="S27" s="34" t="s">
        <v>45</v>
      </c>
      <c r="T27" s="34" t="s">
        <v>42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45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42</v>
      </c>
      <c r="AN27" s="34" t="s">
        <v>42</v>
      </c>
      <c r="AO27" s="28" t="s">
        <v>46</v>
      </c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Oct</v>
      </c>
      <c r="AV27" s="11">
        <f t="shared" si="3"/>
        <v>20</v>
      </c>
      <c r="AW27" s="11">
        <f t="shared" si="4"/>
        <v>2</v>
      </c>
      <c r="AX27" s="11">
        <f t="shared" si="5"/>
        <v>5</v>
      </c>
      <c r="AY27" s="11">
        <f t="shared" si="6"/>
        <v>4</v>
      </c>
      <c r="AZ27" s="13">
        <f t="shared" si="7"/>
        <v>31</v>
      </c>
      <c r="BA27" s="13">
        <f>(octrepo[[#This Row],[Days]]-octrepo[[#This Row],[Absent]])</f>
        <v>29</v>
      </c>
      <c r="BB27" s="11">
        <f t="shared" ca="1" si="8"/>
        <v>24005</v>
      </c>
      <c r="BC27" s="13">
        <f ca="1">(octrepo[[#This Row],[Salary]]/octrepo[[#This Row],[Paid Days]])</f>
        <v>827.75862068965512</v>
      </c>
      <c r="BD27" s="13">
        <f ca="1">octrepo[[#This Row],[Salary]]*octrepo[[#This Row],[Absent]]</f>
        <v>48010</v>
      </c>
      <c r="BE27" s="13">
        <f ca="1">octrepo[[#This Row],[Salary]]-octrepo[[#This Row],[Deduction]]</f>
        <v>-24005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9"/>
        <v>4</v>
      </c>
      <c r="K28" s="31" t="s">
        <v>42</v>
      </c>
      <c r="L28" s="31" t="s">
        <v>42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1" t="s">
        <v>42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1" t="s">
        <v>42</v>
      </c>
      <c r="AO28" s="32" t="s">
        <v>46</v>
      </c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Oct</v>
      </c>
      <c r="AV28" s="11">
        <f t="shared" si="3"/>
        <v>22</v>
      </c>
      <c r="AW28" s="11">
        <f t="shared" si="4"/>
        <v>0</v>
      </c>
      <c r="AX28" s="11">
        <f t="shared" si="5"/>
        <v>5</v>
      </c>
      <c r="AY28" s="11">
        <f t="shared" si="6"/>
        <v>4</v>
      </c>
      <c r="AZ28" s="13">
        <f t="shared" si="7"/>
        <v>31</v>
      </c>
      <c r="BA28" s="13">
        <f>(octrepo[[#This Row],[Days]]-octrepo[[#This Row],[Absent]])</f>
        <v>31</v>
      </c>
      <c r="BB28" s="11">
        <f t="shared" ca="1" si="8"/>
        <v>15650</v>
      </c>
      <c r="BC28" s="13">
        <f ca="1">(octrepo[[#This Row],[Salary]]/octrepo[[#This Row],[Paid Days]])</f>
        <v>504.83870967741933</v>
      </c>
      <c r="BD28" s="13">
        <f ca="1">octrepo[[#This Row],[Salary]]*octrepo[[#This Row],[Absent]]</f>
        <v>0</v>
      </c>
      <c r="BE28" s="13">
        <f ca="1">octrepo[[#This Row],[Salary]]-octrepo[[#This Row],[Deduction]]</f>
        <v>15650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mergeCells count="1">
    <mergeCell ref="G7:I7"/>
  </mergeCells>
  <conditionalFormatting sqref="K7:AO8 O10:O28 V10:V28 AC10:AC28 AJ10:AJ28">
    <cfRule type="containsText" dxfId="23" priority="25" operator="containsText" text="WO">
      <formula>NOT(ISERROR(SEARCH("WO",K7)))</formula>
    </cfRule>
  </conditionalFormatting>
  <conditionalFormatting sqref="K8:AO8 O10:O28 V10:V28 AC10:AC28 AJ10:AJ28">
    <cfRule type="containsText" dxfId="22" priority="23" operator="containsText" text="A">
      <formula>NOT(ISERROR(SEARCH("A",K8)))</formula>
    </cfRule>
    <cfRule type="containsText" dxfId="21" priority="24" operator="containsText" text="P">
      <formula>NOT(ISERROR(SEARCH("P",K8)))</formula>
    </cfRule>
  </conditionalFormatting>
  <conditionalFormatting sqref="K9:AO28">
    <cfRule type="containsText" dxfId="20" priority="1" operator="containsText" text="A">
      <formula>NOT(ISERROR(SEARCH("A",K9)))</formula>
    </cfRule>
    <cfRule type="containsText" dxfId="19" priority="2" operator="containsText" text="P">
      <formula>NOT(ISERROR(SEARCH("P",K9)))</formula>
    </cfRule>
    <cfRule type="containsText" dxfId="18" priority="3" operator="containsText" text="WO">
      <formula>NOT(ISERROR(SEARCH("WO",K9)))</formula>
    </cfRule>
  </conditionalFormatting>
  <conditionalFormatting sqref="O10:O28 V10:V28 AC10:AC28 AJ10:AJ28 K8:AO8">
    <cfRule type="containsText" dxfId="17" priority="22" operator="containsText" text="L">
      <formula>NOT(ISERROR(SEARCH("L",K8)))</formula>
    </cfRule>
  </conditionalFormatting>
  <conditionalFormatting sqref="AP9">
    <cfRule type="containsText" dxfId="16" priority="21" operator="containsText" text="WO">
      <formula>NOT(ISERROR(SEARCH("WO",AP9)))</formula>
    </cfRule>
  </conditionalFormatting>
  <dataValidations count="1">
    <dataValidation type="list" allowBlank="1" showInputMessage="1" showErrorMessage="1" sqref="K9:AO28" xr:uid="{CE5B66BA-05EC-4A1E-A072-FBF42B979016}">
      <formula1>"P,A,L,WO"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8DE455-41A4-4019-9EC1-97309440C515}">
          <x14:formula1>
            <xm:f>Sheet3!$A$1:$A$12</xm:f>
          </x14:formula1>
          <xm:sqref>H4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E954-61B5-4CF7-BD62-0B032AAF40E0}">
  <dimension ref="D1:BG44"/>
  <sheetViews>
    <sheetView topLeftCell="T1" zoomScale="70" zoomScaleNormal="70" workbookViewId="0">
      <selection activeCell="AV9" sqref="AV9:AX9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45962</v>
      </c>
      <c r="I4" s="19">
        <f>(DATEDIF($H$4,$L$4,"D")+1)</f>
        <v>30</v>
      </c>
      <c r="J4" s="17" t="str">
        <f>TEXT(H4,"mmm")</f>
        <v>Nov</v>
      </c>
      <c r="K4" s="17" t="s">
        <v>27</v>
      </c>
      <c r="L4" s="18">
        <f>EOMONTH(H4,0)</f>
        <v>45991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Sat</v>
      </c>
      <c r="L7" s="5" t="str">
        <f t="shared" ref="L7:AO7" si="0">TEXT(L8,"ddd")</f>
        <v>Sun</v>
      </c>
      <c r="M7" s="5" t="str">
        <f t="shared" si="0"/>
        <v>Mon</v>
      </c>
      <c r="N7" s="5" t="str">
        <f t="shared" si="0"/>
        <v>Tue</v>
      </c>
      <c r="O7" s="5" t="str">
        <f t="shared" si="0"/>
        <v>Wed</v>
      </c>
      <c r="P7" s="5" t="str">
        <f t="shared" si="0"/>
        <v>Thu</v>
      </c>
      <c r="Q7" s="5" t="str">
        <f t="shared" si="0"/>
        <v>Fri</v>
      </c>
      <c r="R7" s="5" t="str">
        <f t="shared" si="0"/>
        <v>Sat</v>
      </c>
      <c r="S7" s="5" t="str">
        <f t="shared" si="0"/>
        <v>Sun</v>
      </c>
      <c r="T7" s="5" t="str">
        <f t="shared" si="0"/>
        <v>Mon</v>
      </c>
      <c r="U7" s="5" t="str">
        <f t="shared" si="0"/>
        <v>Tue</v>
      </c>
      <c r="V7" s="5" t="str">
        <f t="shared" si="0"/>
        <v>Wed</v>
      </c>
      <c r="W7" s="5" t="str">
        <f t="shared" si="0"/>
        <v>Thu</v>
      </c>
      <c r="X7" s="5" t="str">
        <f t="shared" si="0"/>
        <v>Fri</v>
      </c>
      <c r="Y7" s="5" t="str">
        <f t="shared" si="0"/>
        <v>Sat</v>
      </c>
      <c r="Z7" s="5" t="str">
        <f t="shared" si="0"/>
        <v>Sun</v>
      </c>
      <c r="AA7" s="5" t="str">
        <f t="shared" si="0"/>
        <v>Mon</v>
      </c>
      <c r="AB7" s="5" t="str">
        <f t="shared" si="0"/>
        <v>Tue</v>
      </c>
      <c r="AC7" s="5" t="str">
        <f t="shared" si="0"/>
        <v>Wed</v>
      </c>
      <c r="AD7" s="5" t="str">
        <f t="shared" si="0"/>
        <v>Thu</v>
      </c>
      <c r="AE7" s="5" t="str">
        <f t="shared" si="0"/>
        <v>Fri</v>
      </c>
      <c r="AF7" s="5" t="str">
        <f t="shared" si="0"/>
        <v>Sat</v>
      </c>
      <c r="AG7" s="5" t="str">
        <f t="shared" si="0"/>
        <v>Sun</v>
      </c>
      <c r="AH7" s="5" t="str">
        <f t="shared" si="0"/>
        <v>Mon</v>
      </c>
      <c r="AI7" s="5" t="str">
        <f t="shared" si="0"/>
        <v>Tue</v>
      </c>
      <c r="AJ7" s="5" t="str">
        <f t="shared" si="0"/>
        <v>Wed</v>
      </c>
      <c r="AK7" s="5" t="str">
        <f t="shared" si="0"/>
        <v>Thu</v>
      </c>
      <c r="AL7" s="5" t="str">
        <f t="shared" si="0"/>
        <v>Fri</v>
      </c>
      <c r="AM7" s="5" t="str">
        <f t="shared" si="0"/>
        <v>Sat</v>
      </c>
      <c r="AN7" s="5" t="str">
        <f t="shared" si="0"/>
        <v>Sun</v>
      </c>
      <c r="AO7" s="6" t="str">
        <f t="shared" si="0"/>
        <v/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45962</v>
      </c>
      <c r="L8" s="23">
        <f t="shared" ref="L8:AO8" si="1">IF(K8&lt;$L$4,K8+1,"")</f>
        <v>45963</v>
      </c>
      <c r="M8" s="23">
        <f t="shared" si="1"/>
        <v>45964</v>
      </c>
      <c r="N8" s="23">
        <f t="shared" si="1"/>
        <v>45965</v>
      </c>
      <c r="O8" s="23">
        <f t="shared" si="1"/>
        <v>45966</v>
      </c>
      <c r="P8" s="23">
        <f t="shared" si="1"/>
        <v>45967</v>
      </c>
      <c r="Q8" s="23">
        <f t="shared" si="1"/>
        <v>45968</v>
      </c>
      <c r="R8" s="23">
        <f t="shared" si="1"/>
        <v>45969</v>
      </c>
      <c r="S8" s="23">
        <f t="shared" si="1"/>
        <v>45970</v>
      </c>
      <c r="T8" s="23">
        <f t="shared" si="1"/>
        <v>45971</v>
      </c>
      <c r="U8" s="23">
        <f t="shared" si="1"/>
        <v>45972</v>
      </c>
      <c r="V8" s="23">
        <f t="shared" si="1"/>
        <v>45973</v>
      </c>
      <c r="W8" s="23">
        <f t="shared" si="1"/>
        <v>45974</v>
      </c>
      <c r="X8" s="23">
        <f t="shared" si="1"/>
        <v>45975</v>
      </c>
      <c r="Y8" s="23">
        <f t="shared" si="1"/>
        <v>45976</v>
      </c>
      <c r="Z8" s="23">
        <f t="shared" si="1"/>
        <v>45977</v>
      </c>
      <c r="AA8" s="23">
        <f t="shared" si="1"/>
        <v>45978</v>
      </c>
      <c r="AB8" s="23">
        <f t="shared" si="1"/>
        <v>45979</v>
      </c>
      <c r="AC8" s="23">
        <f t="shared" si="1"/>
        <v>45980</v>
      </c>
      <c r="AD8" s="23">
        <f t="shared" si="1"/>
        <v>45981</v>
      </c>
      <c r="AE8" s="23">
        <f t="shared" si="1"/>
        <v>45982</v>
      </c>
      <c r="AF8" s="23">
        <f t="shared" si="1"/>
        <v>45983</v>
      </c>
      <c r="AG8" s="23">
        <f t="shared" si="1"/>
        <v>45984</v>
      </c>
      <c r="AH8" s="23">
        <f t="shared" si="1"/>
        <v>45985</v>
      </c>
      <c r="AI8" s="23">
        <f t="shared" si="1"/>
        <v>45986</v>
      </c>
      <c r="AJ8" s="23">
        <f t="shared" si="1"/>
        <v>45987</v>
      </c>
      <c r="AK8" s="23">
        <f t="shared" si="1"/>
        <v>45988</v>
      </c>
      <c r="AL8" s="23">
        <f t="shared" si="1"/>
        <v>45989</v>
      </c>
      <c r="AM8" s="23">
        <f t="shared" si="1"/>
        <v>45990</v>
      </c>
      <c r="AN8" s="23">
        <f t="shared" si="1"/>
        <v>45991</v>
      </c>
      <c r="AO8" s="24" t="str">
        <f t="shared" si="1"/>
        <v/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5</v>
      </c>
      <c r="K9" s="34" t="s">
        <v>42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42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46</v>
      </c>
      <c r="AO9" s="28"/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Nov</v>
      </c>
      <c r="AV9" s="11">
        <f t="shared" ref="AV9:AV28" si="3">COUNTIF($K9:$AO9,"P")</f>
        <v>21</v>
      </c>
      <c r="AW9" s="11">
        <f t="shared" ref="AW9:AW28" si="4">COUNTIF($K9:$AO9,"A")</f>
        <v>0</v>
      </c>
      <c r="AX9" s="11">
        <f t="shared" ref="AX9:AX28" si="5">COUNTIF($K9:$AO9,"L")</f>
        <v>5</v>
      </c>
      <c r="AY9" s="11">
        <f t="shared" ref="AY9:AY28" si="6">$J$9</f>
        <v>5</v>
      </c>
      <c r="AZ9" s="13">
        <f t="shared" ref="AZ9:AZ28" si="7">$I$4</f>
        <v>30</v>
      </c>
      <c r="BA9" s="13">
        <f>(novrepo[[#This Row],[Days]]-novrepo[[#This Row],[Absent]])</f>
        <v>30</v>
      </c>
      <c r="BB9" s="11">
        <f t="shared" ref="BB9:BB28" ca="1" si="8">RANDBETWEEN(10000,25000)</f>
        <v>15257</v>
      </c>
      <c r="BC9" s="13">
        <f ca="1">(novrepo[[#This Row],[Salary]]/novrepo[[#This Row],[Paid Days]])</f>
        <v>508.56666666666666</v>
      </c>
      <c r="BD9" s="13">
        <f ca="1">novrepo[[#This Row],[Salary]]*novrepo[[#This Row],[Absent]]</f>
        <v>0</v>
      </c>
      <c r="BE9" s="13">
        <f ca="1">novrepo[[#This Row],[Salary]]-novrepo[[#This Row],[Deduction]]</f>
        <v>15257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9">COUNTIF($K$7:$AO$7,"Sun")</f>
        <v>5</v>
      </c>
      <c r="K10" s="34" t="s">
        <v>42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42</v>
      </c>
      <c r="Q10" s="34" t="s">
        <v>42</v>
      </c>
      <c r="R10" s="34" t="s">
        <v>42</v>
      </c>
      <c r="S10" s="34" t="s">
        <v>42</v>
      </c>
      <c r="T10" s="34" t="s">
        <v>45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42</v>
      </c>
      <c r="AN10" s="34" t="s">
        <v>46</v>
      </c>
      <c r="AO10" s="28"/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Nov</v>
      </c>
      <c r="AV10" s="11">
        <f t="shared" si="3"/>
        <v>20</v>
      </c>
      <c r="AW10" s="11">
        <f t="shared" si="4"/>
        <v>1</v>
      </c>
      <c r="AX10" s="11">
        <f t="shared" si="5"/>
        <v>5</v>
      </c>
      <c r="AY10" s="11">
        <f t="shared" si="6"/>
        <v>5</v>
      </c>
      <c r="AZ10" s="13">
        <f t="shared" si="7"/>
        <v>30</v>
      </c>
      <c r="BA10" s="13">
        <f>(novrepo[[#This Row],[Days]]-novrepo[[#This Row],[Absent]])</f>
        <v>29</v>
      </c>
      <c r="BB10" s="11">
        <f t="shared" ca="1" si="8"/>
        <v>14784</v>
      </c>
      <c r="BC10" s="13">
        <f ca="1">(novrepo[[#This Row],[Salary]]/novrepo[[#This Row],[Paid Days]])</f>
        <v>509.79310344827587</v>
      </c>
      <c r="BD10" s="13">
        <f ca="1">novrepo[[#This Row],[Salary]]*novrepo[[#This Row],[Absent]]</f>
        <v>14784</v>
      </c>
      <c r="BE10" s="13">
        <f ca="1">novrepo[[#This Row],[Salary]]-novrepo[[#This Row],[Deduction]]</f>
        <v>0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9"/>
        <v>5</v>
      </c>
      <c r="K11" s="34" t="s">
        <v>45</v>
      </c>
      <c r="L11" s="34" t="s">
        <v>42</v>
      </c>
      <c r="M11" s="34" t="s">
        <v>42</v>
      </c>
      <c r="N11" s="34" t="s">
        <v>46</v>
      </c>
      <c r="O11" s="34" t="s">
        <v>44</v>
      </c>
      <c r="P11" s="34" t="s">
        <v>42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42</v>
      </c>
      <c r="X11" s="34" t="s">
        <v>42</v>
      </c>
      <c r="Y11" s="34" t="s">
        <v>42</v>
      </c>
      <c r="Z11" s="34" t="s">
        <v>45</v>
      </c>
      <c r="AA11" s="34" t="s">
        <v>42</v>
      </c>
      <c r="AB11" s="34" t="s">
        <v>46</v>
      </c>
      <c r="AC11" s="34" t="s">
        <v>44</v>
      </c>
      <c r="AD11" s="34" t="s">
        <v>42</v>
      </c>
      <c r="AE11" s="34" t="s">
        <v>42</v>
      </c>
      <c r="AF11" s="34" t="s">
        <v>42</v>
      </c>
      <c r="AG11" s="34" t="s">
        <v>42</v>
      </c>
      <c r="AH11" s="34" t="s">
        <v>45</v>
      </c>
      <c r="AI11" s="34" t="s">
        <v>46</v>
      </c>
      <c r="AJ11" s="34" t="s">
        <v>44</v>
      </c>
      <c r="AK11" s="34" t="s">
        <v>42</v>
      </c>
      <c r="AL11" s="34" t="s">
        <v>42</v>
      </c>
      <c r="AM11" s="34" t="s">
        <v>42</v>
      </c>
      <c r="AN11" s="34" t="s">
        <v>46</v>
      </c>
      <c r="AO11" s="28"/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Nov</v>
      </c>
      <c r="AV11" s="11">
        <f t="shared" si="3"/>
        <v>18</v>
      </c>
      <c r="AW11" s="11">
        <f t="shared" si="4"/>
        <v>3</v>
      </c>
      <c r="AX11" s="11">
        <f t="shared" si="5"/>
        <v>5</v>
      </c>
      <c r="AY11" s="11">
        <f t="shared" si="6"/>
        <v>5</v>
      </c>
      <c r="AZ11" s="13">
        <f t="shared" si="7"/>
        <v>30</v>
      </c>
      <c r="BA11" s="13">
        <f>(novrepo[[#This Row],[Days]]-novrepo[[#This Row],[Absent]])</f>
        <v>27</v>
      </c>
      <c r="BB11" s="11">
        <f t="shared" ca="1" si="8"/>
        <v>15489</v>
      </c>
      <c r="BC11" s="13">
        <f ca="1">(novrepo[[#This Row],[Salary]]/novrepo[[#This Row],[Paid Days]])</f>
        <v>573.66666666666663</v>
      </c>
      <c r="BD11" s="13">
        <f ca="1">novrepo[[#This Row],[Salary]]*novrepo[[#This Row],[Absent]]</f>
        <v>46467</v>
      </c>
      <c r="BE11" s="13">
        <f ca="1">novrepo[[#This Row],[Salary]]-novrepo[[#This Row],[Deduction]]</f>
        <v>-30978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9"/>
        <v>5</v>
      </c>
      <c r="K12" s="34" t="s">
        <v>42</v>
      </c>
      <c r="L12" s="34" t="s">
        <v>42</v>
      </c>
      <c r="M12" s="34" t="s">
        <v>42</v>
      </c>
      <c r="N12" s="34" t="s">
        <v>46</v>
      </c>
      <c r="O12" s="34" t="s">
        <v>44</v>
      </c>
      <c r="P12" s="34" t="s">
        <v>45</v>
      </c>
      <c r="Q12" s="34" t="s">
        <v>42</v>
      </c>
      <c r="R12" s="34" t="s">
        <v>42</v>
      </c>
      <c r="S12" s="34" t="s">
        <v>42</v>
      </c>
      <c r="T12" s="34" t="s">
        <v>42</v>
      </c>
      <c r="U12" s="34" t="s">
        <v>46</v>
      </c>
      <c r="V12" s="34" t="s">
        <v>44</v>
      </c>
      <c r="W12" s="34" t="s">
        <v>42</v>
      </c>
      <c r="X12" s="34" t="s">
        <v>45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42</v>
      </c>
      <c r="AE12" s="34" t="s">
        <v>42</v>
      </c>
      <c r="AF12" s="34" t="s">
        <v>42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42</v>
      </c>
      <c r="AL12" s="34" t="s">
        <v>42</v>
      </c>
      <c r="AM12" s="34" t="s">
        <v>42</v>
      </c>
      <c r="AN12" s="34" t="s">
        <v>46</v>
      </c>
      <c r="AO12" s="28"/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Nov</v>
      </c>
      <c r="AV12" s="11">
        <f t="shared" si="3"/>
        <v>19</v>
      </c>
      <c r="AW12" s="11">
        <f t="shared" si="4"/>
        <v>2</v>
      </c>
      <c r="AX12" s="11">
        <f t="shared" si="5"/>
        <v>5</v>
      </c>
      <c r="AY12" s="11">
        <f t="shared" si="6"/>
        <v>5</v>
      </c>
      <c r="AZ12" s="13">
        <f t="shared" si="7"/>
        <v>30</v>
      </c>
      <c r="BA12" s="13">
        <f>(novrepo[[#This Row],[Days]]-novrepo[[#This Row],[Absent]])</f>
        <v>28</v>
      </c>
      <c r="BB12" s="11">
        <f t="shared" ca="1" si="8"/>
        <v>17094</v>
      </c>
      <c r="BC12" s="13">
        <f ca="1">(novrepo[[#This Row],[Salary]]/novrepo[[#This Row],[Paid Days]])</f>
        <v>610.5</v>
      </c>
      <c r="BD12" s="13">
        <f ca="1">novrepo[[#This Row],[Salary]]*novrepo[[#This Row],[Absent]]</f>
        <v>34188</v>
      </c>
      <c r="BE12" s="13">
        <f ca="1">novrepo[[#This Row],[Salary]]-novrepo[[#This Row],[Deduction]]</f>
        <v>-17094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9"/>
        <v>5</v>
      </c>
      <c r="K13" s="34" t="s">
        <v>42</v>
      </c>
      <c r="L13" s="34" t="s">
        <v>42</v>
      </c>
      <c r="M13" s="34" t="s">
        <v>42</v>
      </c>
      <c r="N13" s="34" t="s">
        <v>46</v>
      </c>
      <c r="O13" s="34" t="s">
        <v>44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42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42</v>
      </c>
      <c r="AN13" s="34" t="s">
        <v>46</v>
      </c>
      <c r="AO13" s="28"/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Nov</v>
      </c>
      <c r="AV13" s="11">
        <f t="shared" si="3"/>
        <v>21</v>
      </c>
      <c r="AW13" s="11">
        <f t="shared" si="4"/>
        <v>0</v>
      </c>
      <c r="AX13" s="11">
        <f t="shared" si="5"/>
        <v>5</v>
      </c>
      <c r="AY13" s="11">
        <f t="shared" si="6"/>
        <v>5</v>
      </c>
      <c r="AZ13" s="13">
        <f t="shared" si="7"/>
        <v>30</v>
      </c>
      <c r="BA13" s="13">
        <f>(novrepo[[#This Row],[Days]]-novrepo[[#This Row],[Absent]])</f>
        <v>30</v>
      </c>
      <c r="BB13" s="11">
        <f t="shared" ca="1" si="8"/>
        <v>21423</v>
      </c>
      <c r="BC13" s="13">
        <f ca="1">(novrepo[[#This Row],[Salary]]/novrepo[[#This Row],[Paid Days]])</f>
        <v>714.1</v>
      </c>
      <c r="BD13" s="13">
        <f ca="1">novrepo[[#This Row],[Salary]]*novrepo[[#This Row],[Absent]]</f>
        <v>0</v>
      </c>
      <c r="BE13" s="13">
        <f ca="1">novrepo[[#This Row],[Salary]]-novrepo[[#This Row],[Deduction]]</f>
        <v>21423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9"/>
        <v>5</v>
      </c>
      <c r="K14" s="34" t="s">
        <v>42</v>
      </c>
      <c r="L14" s="34" t="s">
        <v>42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42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42</v>
      </c>
      <c r="AE14" s="34" t="s">
        <v>42</v>
      </c>
      <c r="AF14" s="34" t="s">
        <v>45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42</v>
      </c>
      <c r="AL14" s="34" t="s">
        <v>42</v>
      </c>
      <c r="AM14" s="34" t="s">
        <v>42</v>
      </c>
      <c r="AN14" s="34" t="s">
        <v>46</v>
      </c>
      <c r="AO14" s="28"/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Nov</v>
      </c>
      <c r="AV14" s="11">
        <f t="shared" si="3"/>
        <v>20</v>
      </c>
      <c r="AW14" s="11">
        <f t="shared" si="4"/>
        <v>1</v>
      </c>
      <c r="AX14" s="11">
        <f t="shared" si="5"/>
        <v>5</v>
      </c>
      <c r="AY14" s="11">
        <f t="shared" si="6"/>
        <v>5</v>
      </c>
      <c r="AZ14" s="13">
        <f t="shared" si="7"/>
        <v>30</v>
      </c>
      <c r="BA14" s="13">
        <f>(novrepo[[#This Row],[Days]]-novrepo[[#This Row],[Absent]])</f>
        <v>29</v>
      </c>
      <c r="BB14" s="11">
        <f t="shared" ca="1" si="8"/>
        <v>24220</v>
      </c>
      <c r="BC14" s="13">
        <f ca="1">(novrepo[[#This Row],[Salary]]/novrepo[[#This Row],[Paid Days]])</f>
        <v>835.17241379310349</v>
      </c>
      <c r="BD14" s="13">
        <f ca="1">novrepo[[#This Row],[Salary]]*novrepo[[#This Row],[Absent]]</f>
        <v>24220</v>
      </c>
      <c r="BE14" s="13">
        <f ca="1">novrepo[[#This Row],[Salary]]-novrepo[[#This Row],[Deduction]]</f>
        <v>0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9"/>
        <v>5</v>
      </c>
      <c r="K15" s="34" t="s">
        <v>42</v>
      </c>
      <c r="L15" s="34" t="s">
        <v>42</v>
      </c>
      <c r="M15" s="34" t="s">
        <v>42</v>
      </c>
      <c r="N15" s="34" t="s">
        <v>46</v>
      </c>
      <c r="O15" s="34" t="s">
        <v>44</v>
      </c>
      <c r="P15" s="34" t="s">
        <v>42</v>
      </c>
      <c r="Q15" s="34" t="s">
        <v>42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42</v>
      </c>
      <c r="Y15" s="34" t="s">
        <v>42</v>
      </c>
      <c r="Z15" s="34" t="s">
        <v>42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42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42</v>
      </c>
      <c r="AL15" s="34" t="s">
        <v>42</v>
      </c>
      <c r="AM15" s="34" t="s">
        <v>42</v>
      </c>
      <c r="AN15" s="34" t="s">
        <v>46</v>
      </c>
      <c r="AO15" s="28"/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Nov</v>
      </c>
      <c r="AV15" s="11">
        <f t="shared" si="3"/>
        <v>21</v>
      </c>
      <c r="AW15" s="11">
        <f t="shared" si="4"/>
        <v>0</v>
      </c>
      <c r="AX15" s="11">
        <f t="shared" si="5"/>
        <v>5</v>
      </c>
      <c r="AY15" s="11">
        <f t="shared" si="6"/>
        <v>5</v>
      </c>
      <c r="AZ15" s="13">
        <f t="shared" si="7"/>
        <v>30</v>
      </c>
      <c r="BA15" s="13">
        <f>(novrepo[[#This Row],[Days]]-novrepo[[#This Row],[Absent]])</f>
        <v>30</v>
      </c>
      <c r="BB15" s="11">
        <f t="shared" ca="1" si="8"/>
        <v>14955</v>
      </c>
      <c r="BC15" s="13">
        <f ca="1">(novrepo[[#This Row],[Salary]]/novrepo[[#This Row],[Paid Days]])</f>
        <v>498.5</v>
      </c>
      <c r="BD15" s="13">
        <f ca="1">novrepo[[#This Row],[Salary]]*novrepo[[#This Row],[Absent]]</f>
        <v>0</v>
      </c>
      <c r="BE15" s="13">
        <f ca="1">novrepo[[#This Row],[Salary]]-novrepo[[#This Row],[Deduction]]</f>
        <v>14955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9"/>
        <v>5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42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42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42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46</v>
      </c>
      <c r="AO16" s="28"/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Nov</v>
      </c>
      <c r="AV16" s="11">
        <f t="shared" si="3"/>
        <v>21</v>
      </c>
      <c r="AW16" s="11">
        <f t="shared" si="4"/>
        <v>0</v>
      </c>
      <c r="AX16" s="11">
        <f t="shared" si="5"/>
        <v>5</v>
      </c>
      <c r="AY16" s="11">
        <f t="shared" si="6"/>
        <v>5</v>
      </c>
      <c r="AZ16" s="13">
        <f t="shared" si="7"/>
        <v>30</v>
      </c>
      <c r="BA16" s="13">
        <f>(novrepo[[#This Row],[Days]]-novrepo[[#This Row],[Absent]])</f>
        <v>30</v>
      </c>
      <c r="BB16" s="11">
        <f t="shared" ca="1" si="8"/>
        <v>20027</v>
      </c>
      <c r="BC16" s="13">
        <f ca="1">(novrepo[[#This Row],[Salary]]/novrepo[[#This Row],[Paid Days]])</f>
        <v>667.56666666666672</v>
      </c>
      <c r="BD16" s="13">
        <f ca="1">novrepo[[#This Row],[Salary]]*novrepo[[#This Row],[Absent]]</f>
        <v>0</v>
      </c>
      <c r="BE16" s="13">
        <f ca="1">novrepo[[#This Row],[Salary]]-novrepo[[#This Row],[Deduction]]</f>
        <v>20027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9"/>
        <v>5</v>
      </c>
      <c r="K17" s="34" t="s">
        <v>42</v>
      </c>
      <c r="L17" s="34" t="s">
        <v>42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42</v>
      </c>
      <c r="R17" s="34" t="s">
        <v>45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42</v>
      </c>
      <c r="Z17" s="34" t="s">
        <v>42</v>
      </c>
      <c r="AA17" s="34" t="s">
        <v>45</v>
      </c>
      <c r="AB17" s="34" t="s">
        <v>46</v>
      </c>
      <c r="AC17" s="34" t="s">
        <v>44</v>
      </c>
      <c r="AD17" s="34" t="s">
        <v>45</v>
      </c>
      <c r="AE17" s="34" t="s">
        <v>42</v>
      </c>
      <c r="AF17" s="34" t="s">
        <v>42</v>
      </c>
      <c r="AG17" s="34" t="s">
        <v>42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46</v>
      </c>
      <c r="AO17" s="28"/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Nov</v>
      </c>
      <c r="AV17" s="11">
        <f t="shared" si="3"/>
        <v>18</v>
      </c>
      <c r="AW17" s="11">
        <f t="shared" si="4"/>
        <v>3</v>
      </c>
      <c r="AX17" s="11">
        <f t="shared" si="5"/>
        <v>5</v>
      </c>
      <c r="AY17" s="11">
        <f t="shared" si="6"/>
        <v>5</v>
      </c>
      <c r="AZ17" s="13">
        <f t="shared" si="7"/>
        <v>30</v>
      </c>
      <c r="BA17" s="13">
        <f>(novrepo[[#This Row],[Days]]-novrepo[[#This Row],[Absent]])</f>
        <v>27</v>
      </c>
      <c r="BB17" s="11">
        <f t="shared" ca="1" si="8"/>
        <v>11182</v>
      </c>
      <c r="BC17" s="13">
        <f ca="1">(novrepo[[#This Row],[Salary]]/novrepo[[#This Row],[Paid Days]])</f>
        <v>414.14814814814815</v>
      </c>
      <c r="BD17" s="13">
        <f ca="1">novrepo[[#This Row],[Salary]]*novrepo[[#This Row],[Absent]]</f>
        <v>33546</v>
      </c>
      <c r="BE17" s="13">
        <f ca="1">novrepo[[#This Row],[Salary]]-novrepo[[#This Row],[Deduction]]</f>
        <v>-22364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9"/>
        <v>5</v>
      </c>
      <c r="K18" s="34" t="s">
        <v>42</v>
      </c>
      <c r="L18" s="34" t="s">
        <v>42</v>
      </c>
      <c r="M18" s="34" t="s">
        <v>42</v>
      </c>
      <c r="N18" s="34" t="s">
        <v>46</v>
      </c>
      <c r="O18" s="34" t="s">
        <v>44</v>
      </c>
      <c r="P18" s="34" t="s">
        <v>42</v>
      </c>
      <c r="Q18" s="34" t="s">
        <v>42</v>
      </c>
      <c r="R18" s="34" t="s">
        <v>42</v>
      </c>
      <c r="S18" s="34" t="s">
        <v>42</v>
      </c>
      <c r="T18" s="34" t="s">
        <v>42</v>
      </c>
      <c r="U18" s="34" t="s">
        <v>46</v>
      </c>
      <c r="V18" s="34" t="s">
        <v>44</v>
      </c>
      <c r="W18" s="34" t="s">
        <v>42</v>
      </c>
      <c r="X18" s="34" t="s">
        <v>42</v>
      </c>
      <c r="Y18" s="34" t="s">
        <v>45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42</v>
      </c>
      <c r="AF18" s="34" t="s">
        <v>42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46</v>
      </c>
      <c r="AO18" s="28"/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Nov</v>
      </c>
      <c r="AV18" s="11">
        <f t="shared" si="3"/>
        <v>20</v>
      </c>
      <c r="AW18" s="11">
        <f t="shared" si="4"/>
        <v>1</v>
      </c>
      <c r="AX18" s="11">
        <f t="shared" si="5"/>
        <v>5</v>
      </c>
      <c r="AY18" s="11">
        <f t="shared" si="6"/>
        <v>5</v>
      </c>
      <c r="AZ18" s="13">
        <f t="shared" si="7"/>
        <v>30</v>
      </c>
      <c r="BA18" s="13">
        <f>(novrepo[[#This Row],[Days]]-novrepo[[#This Row],[Absent]])</f>
        <v>29</v>
      </c>
      <c r="BB18" s="11">
        <f t="shared" ca="1" si="8"/>
        <v>13374</v>
      </c>
      <c r="BC18" s="13">
        <f ca="1">(novrepo[[#This Row],[Salary]]/novrepo[[#This Row],[Paid Days]])</f>
        <v>461.17241379310343</v>
      </c>
      <c r="BD18" s="13">
        <f ca="1">novrepo[[#This Row],[Salary]]*novrepo[[#This Row],[Absent]]</f>
        <v>13374</v>
      </c>
      <c r="BE18" s="13">
        <f ca="1">novrepo[[#This Row],[Salary]]-novrepo[[#This Row],[Deduction]]</f>
        <v>0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9"/>
        <v>5</v>
      </c>
      <c r="K19" s="34" t="s">
        <v>42</v>
      </c>
      <c r="L19" s="34" t="s">
        <v>45</v>
      </c>
      <c r="M19" s="34" t="s">
        <v>42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42</v>
      </c>
      <c r="T19" s="34" t="s">
        <v>42</v>
      </c>
      <c r="U19" s="34" t="s">
        <v>46</v>
      </c>
      <c r="V19" s="34" t="s">
        <v>44</v>
      </c>
      <c r="W19" s="34" t="s">
        <v>42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45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42</v>
      </c>
      <c r="AN19" s="34" t="s">
        <v>46</v>
      </c>
      <c r="AO19" s="28"/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Nov</v>
      </c>
      <c r="AV19" s="11">
        <f t="shared" si="3"/>
        <v>19</v>
      </c>
      <c r="AW19" s="11">
        <f t="shared" si="4"/>
        <v>2</v>
      </c>
      <c r="AX19" s="11">
        <f t="shared" si="5"/>
        <v>5</v>
      </c>
      <c r="AY19" s="11">
        <f t="shared" si="6"/>
        <v>5</v>
      </c>
      <c r="AZ19" s="13">
        <f t="shared" si="7"/>
        <v>30</v>
      </c>
      <c r="BA19" s="13">
        <f>(novrepo[[#This Row],[Days]]-novrepo[[#This Row],[Absent]])</f>
        <v>28</v>
      </c>
      <c r="BB19" s="11">
        <f t="shared" ca="1" si="8"/>
        <v>14899</v>
      </c>
      <c r="BC19" s="13">
        <f ca="1">(novrepo[[#This Row],[Salary]]/novrepo[[#This Row],[Paid Days]])</f>
        <v>532.10714285714289</v>
      </c>
      <c r="BD19" s="13">
        <f ca="1">novrepo[[#This Row],[Salary]]*novrepo[[#This Row],[Absent]]</f>
        <v>29798</v>
      </c>
      <c r="BE19" s="13">
        <f ca="1">novrepo[[#This Row],[Salary]]-novrepo[[#This Row],[Deduction]]</f>
        <v>-14899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9"/>
        <v>5</v>
      </c>
      <c r="K20" s="34" t="s">
        <v>42</v>
      </c>
      <c r="L20" s="34" t="s">
        <v>42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42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42</v>
      </c>
      <c r="X20" s="34" t="s">
        <v>42</v>
      </c>
      <c r="Y20" s="34" t="s">
        <v>42</v>
      </c>
      <c r="Z20" s="34" t="s">
        <v>42</v>
      </c>
      <c r="AA20" s="34" t="s">
        <v>42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42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42</v>
      </c>
      <c r="AN20" s="34" t="s">
        <v>46</v>
      </c>
      <c r="AO20" s="28"/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Nov</v>
      </c>
      <c r="AV20" s="11">
        <f t="shared" si="3"/>
        <v>21</v>
      </c>
      <c r="AW20" s="11">
        <f t="shared" si="4"/>
        <v>0</v>
      </c>
      <c r="AX20" s="11">
        <f t="shared" si="5"/>
        <v>5</v>
      </c>
      <c r="AY20" s="11">
        <f t="shared" si="6"/>
        <v>5</v>
      </c>
      <c r="AZ20" s="13">
        <f t="shared" si="7"/>
        <v>30</v>
      </c>
      <c r="BA20" s="13">
        <f>(novrepo[[#This Row],[Days]]-novrepo[[#This Row],[Absent]])</f>
        <v>30</v>
      </c>
      <c r="BB20" s="11">
        <f t="shared" ca="1" si="8"/>
        <v>24066</v>
      </c>
      <c r="BC20" s="13">
        <f ca="1">(novrepo[[#This Row],[Salary]]/novrepo[[#This Row],[Paid Days]])</f>
        <v>802.2</v>
      </c>
      <c r="BD20" s="13">
        <f ca="1">novrepo[[#This Row],[Salary]]*novrepo[[#This Row],[Absent]]</f>
        <v>0</v>
      </c>
      <c r="BE20" s="13">
        <f ca="1">novrepo[[#This Row],[Salary]]-novrepo[[#This Row],[Deduction]]</f>
        <v>24066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9"/>
        <v>5</v>
      </c>
      <c r="K21" s="34" t="s">
        <v>42</v>
      </c>
      <c r="L21" s="34" t="s">
        <v>45</v>
      </c>
      <c r="M21" s="34" t="s">
        <v>42</v>
      </c>
      <c r="N21" s="34" t="s">
        <v>46</v>
      </c>
      <c r="O21" s="34" t="s">
        <v>44</v>
      </c>
      <c r="P21" s="34" t="s">
        <v>45</v>
      </c>
      <c r="Q21" s="34" t="s">
        <v>42</v>
      </c>
      <c r="R21" s="34" t="s">
        <v>45</v>
      </c>
      <c r="S21" s="34" t="s">
        <v>42</v>
      </c>
      <c r="T21" s="34" t="s">
        <v>42</v>
      </c>
      <c r="U21" s="34" t="s">
        <v>46</v>
      </c>
      <c r="V21" s="34" t="s">
        <v>44</v>
      </c>
      <c r="W21" s="34" t="s">
        <v>42</v>
      </c>
      <c r="X21" s="34" t="s">
        <v>42</v>
      </c>
      <c r="Y21" s="34" t="s">
        <v>42</v>
      </c>
      <c r="Z21" s="34" t="s">
        <v>42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42</v>
      </c>
      <c r="AH21" s="34" t="s">
        <v>42</v>
      </c>
      <c r="AI21" s="34" t="s">
        <v>46</v>
      </c>
      <c r="AJ21" s="34" t="s">
        <v>44</v>
      </c>
      <c r="AK21" s="34" t="s">
        <v>42</v>
      </c>
      <c r="AL21" s="34" t="s">
        <v>42</v>
      </c>
      <c r="AM21" s="34" t="s">
        <v>42</v>
      </c>
      <c r="AN21" s="34" t="s">
        <v>46</v>
      </c>
      <c r="AO21" s="28"/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Nov</v>
      </c>
      <c r="AV21" s="11">
        <f t="shared" si="3"/>
        <v>18</v>
      </c>
      <c r="AW21" s="11">
        <f t="shared" si="4"/>
        <v>3</v>
      </c>
      <c r="AX21" s="11">
        <f t="shared" si="5"/>
        <v>5</v>
      </c>
      <c r="AY21" s="11">
        <f t="shared" si="6"/>
        <v>5</v>
      </c>
      <c r="AZ21" s="13">
        <f t="shared" si="7"/>
        <v>30</v>
      </c>
      <c r="BA21" s="13">
        <f>(novrepo[[#This Row],[Days]]-novrepo[[#This Row],[Absent]])</f>
        <v>27</v>
      </c>
      <c r="BB21" s="11">
        <f t="shared" ca="1" si="8"/>
        <v>12577</v>
      </c>
      <c r="BC21" s="13">
        <f ca="1">(novrepo[[#This Row],[Salary]]/novrepo[[#This Row],[Paid Days]])</f>
        <v>465.81481481481484</v>
      </c>
      <c r="BD21" s="13">
        <f ca="1">novrepo[[#This Row],[Salary]]*novrepo[[#This Row],[Absent]]</f>
        <v>37731</v>
      </c>
      <c r="BE21" s="13">
        <f ca="1">novrepo[[#This Row],[Salary]]-novrepo[[#This Row],[Deduction]]</f>
        <v>-25154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9"/>
        <v>5</v>
      </c>
      <c r="K22" s="34" t="s">
        <v>42</v>
      </c>
      <c r="L22" s="34" t="s">
        <v>42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42</v>
      </c>
      <c r="AL22" s="34" t="s">
        <v>42</v>
      </c>
      <c r="AM22" s="34" t="s">
        <v>42</v>
      </c>
      <c r="AN22" s="34" t="s">
        <v>46</v>
      </c>
      <c r="AO22" s="28"/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Nov</v>
      </c>
      <c r="AV22" s="11">
        <f t="shared" si="3"/>
        <v>21</v>
      </c>
      <c r="AW22" s="11">
        <f t="shared" si="4"/>
        <v>0</v>
      </c>
      <c r="AX22" s="11">
        <f t="shared" si="5"/>
        <v>5</v>
      </c>
      <c r="AY22" s="11">
        <f t="shared" si="6"/>
        <v>5</v>
      </c>
      <c r="AZ22" s="13">
        <f t="shared" si="7"/>
        <v>30</v>
      </c>
      <c r="BA22" s="13">
        <f>(novrepo[[#This Row],[Days]]-novrepo[[#This Row],[Absent]])</f>
        <v>30</v>
      </c>
      <c r="BB22" s="11">
        <f t="shared" ca="1" si="8"/>
        <v>18672</v>
      </c>
      <c r="BC22" s="13">
        <f ca="1">(novrepo[[#This Row],[Salary]]/novrepo[[#This Row],[Paid Days]])</f>
        <v>622.4</v>
      </c>
      <c r="BD22" s="13">
        <f ca="1">novrepo[[#This Row],[Salary]]*novrepo[[#This Row],[Absent]]</f>
        <v>0</v>
      </c>
      <c r="BE22" s="13">
        <f ca="1">novrepo[[#This Row],[Salary]]-novrepo[[#This Row],[Deduction]]</f>
        <v>18672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9"/>
        <v>5</v>
      </c>
      <c r="K23" s="34" t="s">
        <v>42</v>
      </c>
      <c r="L23" s="34" t="s">
        <v>45</v>
      </c>
      <c r="M23" s="34" t="s">
        <v>42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45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45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42</v>
      </c>
      <c r="AL23" s="34" t="s">
        <v>42</v>
      </c>
      <c r="AM23" s="34" t="s">
        <v>42</v>
      </c>
      <c r="AN23" s="34" t="s">
        <v>46</v>
      </c>
      <c r="AO23" s="28"/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Nov</v>
      </c>
      <c r="AV23" s="11">
        <f t="shared" si="3"/>
        <v>18</v>
      </c>
      <c r="AW23" s="11">
        <f t="shared" si="4"/>
        <v>3</v>
      </c>
      <c r="AX23" s="11">
        <f t="shared" si="5"/>
        <v>5</v>
      </c>
      <c r="AY23" s="11">
        <f t="shared" si="6"/>
        <v>5</v>
      </c>
      <c r="AZ23" s="13">
        <f t="shared" si="7"/>
        <v>30</v>
      </c>
      <c r="BA23" s="13">
        <f>(novrepo[[#This Row],[Days]]-novrepo[[#This Row],[Absent]])</f>
        <v>27</v>
      </c>
      <c r="BB23" s="11">
        <f t="shared" ca="1" si="8"/>
        <v>20271</v>
      </c>
      <c r="BC23" s="13">
        <f ca="1">(novrepo[[#This Row],[Salary]]/novrepo[[#This Row],[Paid Days]])</f>
        <v>750.77777777777783</v>
      </c>
      <c r="BD23" s="13">
        <f ca="1">novrepo[[#This Row],[Salary]]*novrepo[[#This Row],[Absent]]</f>
        <v>60813</v>
      </c>
      <c r="BE23" s="13">
        <f ca="1">novrepo[[#This Row],[Salary]]-novrepo[[#This Row],[Deduction]]</f>
        <v>-40542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9"/>
        <v>5</v>
      </c>
      <c r="K24" s="34" t="s">
        <v>42</v>
      </c>
      <c r="L24" s="34" t="s">
        <v>42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45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42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42</v>
      </c>
      <c r="AM24" s="34" t="s">
        <v>42</v>
      </c>
      <c r="AN24" s="34" t="s">
        <v>46</v>
      </c>
      <c r="AO24" s="28"/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Nov</v>
      </c>
      <c r="AV24" s="11">
        <f t="shared" si="3"/>
        <v>20</v>
      </c>
      <c r="AW24" s="11">
        <f t="shared" si="4"/>
        <v>1</v>
      </c>
      <c r="AX24" s="11">
        <f t="shared" si="5"/>
        <v>5</v>
      </c>
      <c r="AY24" s="11">
        <f t="shared" si="6"/>
        <v>5</v>
      </c>
      <c r="AZ24" s="13">
        <f t="shared" si="7"/>
        <v>30</v>
      </c>
      <c r="BA24" s="13">
        <f>(novrepo[[#This Row],[Days]]-novrepo[[#This Row],[Absent]])</f>
        <v>29</v>
      </c>
      <c r="BB24" s="11">
        <f t="shared" ca="1" si="8"/>
        <v>20140</v>
      </c>
      <c r="BC24" s="13">
        <f ca="1">(novrepo[[#This Row],[Salary]]/novrepo[[#This Row],[Paid Days]])</f>
        <v>694.48275862068965</v>
      </c>
      <c r="BD24" s="13">
        <f ca="1">novrepo[[#This Row],[Salary]]*novrepo[[#This Row],[Absent]]</f>
        <v>20140</v>
      </c>
      <c r="BE24" s="13">
        <f ca="1">novrepo[[#This Row],[Salary]]-novrepo[[#This Row],[Deduction]]</f>
        <v>0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9"/>
        <v>5</v>
      </c>
      <c r="K25" s="34" t="s">
        <v>45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42</v>
      </c>
      <c r="Q25" s="34" t="s">
        <v>42</v>
      </c>
      <c r="R25" s="34" t="s">
        <v>42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42</v>
      </c>
      <c r="Z25" s="34" t="s">
        <v>42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42</v>
      </c>
      <c r="AG25" s="34" t="s">
        <v>42</v>
      </c>
      <c r="AH25" s="34" t="s">
        <v>42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46</v>
      </c>
      <c r="AO25" s="28"/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Nov</v>
      </c>
      <c r="AV25" s="11">
        <f t="shared" si="3"/>
        <v>20</v>
      </c>
      <c r="AW25" s="11">
        <f t="shared" si="4"/>
        <v>1</v>
      </c>
      <c r="AX25" s="11">
        <f t="shared" si="5"/>
        <v>5</v>
      </c>
      <c r="AY25" s="11">
        <f t="shared" si="6"/>
        <v>5</v>
      </c>
      <c r="AZ25" s="13">
        <f t="shared" si="7"/>
        <v>30</v>
      </c>
      <c r="BA25" s="13">
        <f>(novrepo[[#This Row],[Days]]-novrepo[[#This Row],[Absent]])</f>
        <v>29</v>
      </c>
      <c r="BB25" s="11">
        <f t="shared" ca="1" si="8"/>
        <v>23569</v>
      </c>
      <c r="BC25" s="13">
        <f ca="1">(novrepo[[#This Row],[Salary]]/novrepo[[#This Row],[Paid Days]])</f>
        <v>812.72413793103453</v>
      </c>
      <c r="BD25" s="13">
        <f ca="1">novrepo[[#This Row],[Salary]]*novrepo[[#This Row],[Absent]]</f>
        <v>23569</v>
      </c>
      <c r="BE25" s="13">
        <f ca="1">novrepo[[#This Row],[Salary]]-novrepo[[#This Row],[Deduction]]</f>
        <v>0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9"/>
        <v>5</v>
      </c>
      <c r="K26" s="34" t="s">
        <v>42</v>
      </c>
      <c r="L26" s="34" t="s">
        <v>42</v>
      </c>
      <c r="M26" s="34" t="s">
        <v>42</v>
      </c>
      <c r="N26" s="34" t="s">
        <v>46</v>
      </c>
      <c r="O26" s="34" t="s">
        <v>44</v>
      </c>
      <c r="P26" s="34" t="s">
        <v>42</v>
      </c>
      <c r="Q26" s="34" t="s">
        <v>42</v>
      </c>
      <c r="R26" s="34" t="s">
        <v>42</v>
      </c>
      <c r="S26" s="34" t="s">
        <v>42</v>
      </c>
      <c r="T26" s="34" t="s">
        <v>42</v>
      </c>
      <c r="U26" s="34" t="s">
        <v>46</v>
      </c>
      <c r="V26" s="34" t="s">
        <v>44</v>
      </c>
      <c r="W26" s="34" t="s">
        <v>42</v>
      </c>
      <c r="X26" s="34" t="s">
        <v>42</v>
      </c>
      <c r="Y26" s="34" t="s">
        <v>42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45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42</v>
      </c>
      <c r="AM26" s="34" t="s">
        <v>42</v>
      </c>
      <c r="AN26" s="34" t="s">
        <v>46</v>
      </c>
      <c r="AO26" s="28"/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Nov</v>
      </c>
      <c r="AV26" s="11">
        <f t="shared" si="3"/>
        <v>20</v>
      </c>
      <c r="AW26" s="11">
        <f t="shared" si="4"/>
        <v>1</v>
      </c>
      <c r="AX26" s="11">
        <f t="shared" si="5"/>
        <v>5</v>
      </c>
      <c r="AY26" s="11">
        <f t="shared" si="6"/>
        <v>5</v>
      </c>
      <c r="AZ26" s="13">
        <f t="shared" si="7"/>
        <v>30</v>
      </c>
      <c r="BA26" s="13">
        <f>(novrepo[[#This Row],[Days]]-novrepo[[#This Row],[Absent]])</f>
        <v>29</v>
      </c>
      <c r="BB26" s="11">
        <f t="shared" ca="1" si="8"/>
        <v>23303</v>
      </c>
      <c r="BC26" s="13">
        <f ca="1">(novrepo[[#This Row],[Salary]]/novrepo[[#This Row],[Paid Days]])</f>
        <v>803.55172413793105</v>
      </c>
      <c r="BD26" s="13">
        <f ca="1">novrepo[[#This Row],[Salary]]*novrepo[[#This Row],[Absent]]</f>
        <v>23303</v>
      </c>
      <c r="BE26" s="13">
        <f ca="1">novrepo[[#This Row],[Salary]]-novrepo[[#This Row],[Deduction]]</f>
        <v>0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9"/>
        <v>5</v>
      </c>
      <c r="K27" s="34" t="s">
        <v>42</v>
      </c>
      <c r="L27" s="34" t="s">
        <v>42</v>
      </c>
      <c r="M27" s="34" t="s">
        <v>42</v>
      </c>
      <c r="N27" s="34" t="s">
        <v>46</v>
      </c>
      <c r="O27" s="34" t="s">
        <v>44</v>
      </c>
      <c r="P27" s="34" t="s">
        <v>42</v>
      </c>
      <c r="Q27" s="34" t="s">
        <v>42</v>
      </c>
      <c r="R27" s="34" t="s">
        <v>42</v>
      </c>
      <c r="S27" s="34" t="s">
        <v>42</v>
      </c>
      <c r="T27" s="34" t="s">
        <v>42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42</v>
      </c>
      <c r="AF27" s="34" t="s">
        <v>42</v>
      </c>
      <c r="AG27" s="34" t="s">
        <v>42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42</v>
      </c>
      <c r="AN27" s="34" t="s">
        <v>46</v>
      </c>
      <c r="AO27" s="28"/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Nov</v>
      </c>
      <c r="AV27" s="11">
        <f t="shared" si="3"/>
        <v>21</v>
      </c>
      <c r="AW27" s="11">
        <f t="shared" si="4"/>
        <v>0</v>
      </c>
      <c r="AX27" s="11">
        <f t="shared" si="5"/>
        <v>5</v>
      </c>
      <c r="AY27" s="11">
        <f t="shared" si="6"/>
        <v>5</v>
      </c>
      <c r="AZ27" s="13">
        <f t="shared" si="7"/>
        <v>30</v>
      </c>
      <c r="BA27" s="13">
        <f>(novrepo[[#This Row],[Days]]-novrepo[[#This Row],[Absent]])</f>
        <v>30</v>
      </c>
      <c r="BB27" s="11">
        <f t="shared" ca="1" si="8"/>
        <v>14542</v>
      </c>
      <c r="BC27" s="13">
        <f ca="1">(novrepo[[#This Row],[Salary]]/novrepo[[#This Row],[Paid Days]])</f>
        <v>484.73333333333335</v>
      </c>
      <c r="BD27" s="13">
        <f ca="1">novrepo[[#This Row],[Salary]]*novrepo[[#This Row],[Absent]]</f>
        <v>0</v>
      </c>
      <c r="BE27" s="13">
        <f ca="1">novrepo[[#This Row],[Salary]]-novrepo[[#This Row],[Deduction]]</f>
        <v>14542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9"/>
        <v>5</v>
      </c>
      <c r="K28" s="31" t="s">
        <v>42</v>
      </c>
      <c r="L28" s="31" t="s">
        <v>42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1" t="s">
        <v>42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1" t="s">
        <v>42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1" t="s">
        <v>46</v>
      </c>
      <c r="AO28" s="32"/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Nov</v>
      </c>
      <c r="AV28" s="11">
        <f t="shared" si="3"/>
        <v>21</v>
      </c>
      <c r="AW28" s="11">
        <f t="shared" si="4"/>
        <v>0</v>
      </c>
      <c r="AX28" s="11">
        <f t="shared" si="5"/>
        <v>5</v>
      </c>
      <c r="AY28" s="11">
        <f t="shared" si="6"/>
        <v>5</v>
      </c>
      <c r="AZ28" s="13">
        <f t="shared" si="7"/>
        <v>30</v>
      </c>
      <c r="BA28" s="13">
        <f>(novrepo[[#This Row],[Days]]-novrepo[[#This Row],[Absent]])</f>
        <v>30</v>
      </c>
      <c r="BB28" s="11">
        <f t="shared" ca="1" si="8"/>
        <v>16293</v>
      </c>
      <c r="BC28" s="13">
        <f ca="1">(novrepo[[#This Row],[Salary]]/novrepo[[#This Row],[Paid Days]])</f>
        <v>543.1</v>
      </c>
      <c r="BD28" s="13">
        <f ca="1">novrepo[[#This Row],[Salary]]*novrepo[[#This Row],[Absent]]</f>
        <v>0</v>
      </c>
      <c r="BE28" s="13">
        <f ca="1">novrepo[[#This Row],[Salary]]-novrepo[[#This Row],[Deduction]]</f>
        <v>16293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mergeCells count="1">
    <mergeCell ref="G7:I7"/>
  </mergeCells>
  <conditionalFormatting sqref="K9:AN28">
    <cfRule type="containsText" dxfId="15" priority="3" operator="containsText" text="WO">
      <formula>NOT(ISERROR(SEARCH("WO",K9)))</formula>
    </cfRule>
  </conditionalFormatting>
  <conditionalFormatting sqref="K7:AO8 O10:O28 V10:V28 AC10:AC28 AJ10:AJ28">
    <cfRule type="containsText" dxfId="14" priority="25" operator="containsText" text="WO">
      <formula>NOT(ISERROR(SEARCH("WO",K7)))</formula>
    </cfRule>
  </conditionalFormatting>
  <conditionalFormatting sqref="K8:AO8 O10:O28 V10:V28 AC10:AC28 AJ10:AJ28">
    <cfRule type="containsText" dxfId="13" priority="23" operator="containsText" text="A">
      <formula>NOT(ISERROR(SEARCH("A",K8)))</formula>
    </cfRule>
    <cfRule type="containsText" dxfId="12" priority="24" operator="containsText" text="P">
      <formula>NOT(ISERROR(SEARCH("P",K8)))</formula>
    </cfRule>
  </conditionalFormatting>
  <conditionalFormatting sqref="K9:AO28">
    <cfRule type="containsText" dxfId="11" priority="1" operator="containsText" text="A">
      <formula>NOT(ISERROR(SEARCH("A",K9)))</formula>
    </cfRule>
    <cfRule type="containsText" dxfId="10" priority="2" operator="containsText" text="P">
      <formula>NOT(ISERROR(SEARCH("P",K9)))</formula>
    </cfRule>
  </conditionalFormatting>
  <conditionalFormatting sqref="O10:O28 V10:V28 AC10:AC28 AJ10:AJ28 K8:AO8">
    <cfRule type="containsText" dxfId="9" priority="22" operator="containsText" text="L">
      <formula>NOT(ISERROR(SEARCH("L",K8)))</formula>
    </cfRule>
  </conditionalFormatting>
  <conditionalFormatting sqref="AO9:AP9 AO10:AO28">
    <cfRule type="containsText" dxfId="8" priority="21" operator="containsText" text="WO">
      <formula>NOT(ISERROR(SEARCH("WO",AO9)))</formula>
    </cfRule>
  </conditionalFormatting>
  <dataValidations count="1">
    <dataValidation type="list" allowBlank="1" showInputMessage="1" showErrorMessage="1" sqref="K9:AO28" xr:uid="{DAE95A1C-E5B7-487C-A6F9-A4B3B6574931}">
      <formula1>"P,A,L,WO"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B0CFFF-9D67-4FB3-A4CF-7C8D5C7A722D}">
          <x14:formula1>
            <xm:f>Sheet3!$A$1:$A$12</xm:f>
          </x14:formula1>
          <xm:sqref>H4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2C36-913B-4A10-B8B9-DF47A117A2D2}">
  <dimension ref="D1:BG44"/>
  <sheetViews>
    <sheetView tabSelected="1" topLeftCell="A4" zoomScale="90" zoomScaleNormal="90" workbookViewId="0">
      <selection activeCell="E13" sqref="E13"/>
    </sheetView>
  </sheetViews>
  <sheetFormatPr defaultRowHeight="15" x14ac:dyDescent="0.25"/>
  <cols>
    <col min="1" max="3" width="9.140625" style="4"/>
    <col min="4" max="6" width="9.140625" style="15"/>
    <col min="7" max="7" width="5.7109375" style="15" customWidth="1"/>
    <col min="8" max="8" width="15.140625" style="15" bestFit="1" customWidth="1"/>
    <col min="9" max="9" width="19.85546875" style="15" customWidth="1"/>
    <col min="10" max="10" width="6.7109375" style="15" customWidth="1"/>
    <col min="11" max="11" width="8.140625" style="15" customWidth="1"/>
    <col min="12" max="12" width="13.42578125" style="15" customWidth="1"/>
    <col min="13" max="41" width="6.7109375" style="15" customWidth="1"/>
    <col min="42" max="44" width="9.140625" style="15"/>
    <col min="45" max="45" width="10" style="15" customWidth="1"/>
    <col min="46" max="47" width="13.42578125" style="15" customWidth="1"/>
    <col min="48" max="48" width="10.42578125" style="15" customWidth="1"/>
    <col min="49" max="49" width="9.85546875" style="15" customWidth="1"/>
    <col min="50" max="50" width="9.140625" style="15"/>
    <col min="51" max="51" width="11" style="15" customWidth="1"/>
    <col min="52" max="52" width="9.140625" style="15"/>
    <col min="53" max="53" width="12.28515625" style="15" customWidth="1"/>
    <col min="54" max="54" width="9.140625" style="15"/>
    <col min="55" max="55" width="18.42578125" style="15" customWidth="1"/>
    <col min="56" max="56" width="12.7109375" style="15" customWidth="1"/>
    <col min="57" max="57" width="14.140625" style="15" customWidth="1"/>
    <col min="58" max="16384" width="9.140625" style="4"/>
  </cols>
  <sheetData>
    <row r="1" spans="4:59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9"/>
      <c r="AQ1" s="9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G1" s="9"/>
    </row>
    <row r="2" spans="4:59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9"/>
      <c r="AQ2" s="9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G2" s="9"/>
    </row>
    <row r="3" spans="4:59" x14ac:dyDescent="0.25">
      <c r="N3" s="16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4:59" x14ac:dyDescent="0.25">
      <c r="G4" s="17" t="s">
        <v>25</v>
      </c>
      <c r="H4" s="18">
        <v>45992</v>
      </c>
      <c r="I4" s="19">
        <f>(DATEDIF($H$4,$L$4,"D")+1)</f>
        <v>31</v>
      </c>
      <c r="J4" s="17" t="str">
        <f>TEXT(H4,"mmm")</f>
        <v>Dec</v>
      </c>
      <c r="K4" s="17" t="s">
        <v>27</v>
      </c>
      <c r="L4" s="18">
        <f>EOMONTH(H4,0)</f>
        <v>46022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4:59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4:59" ht="15.75" thickBot="1" x14ac:dyDescent="0.3"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4:59" ht="15" customHeight="1" thickBot="1" x14ac:dyDescent="0.3">
      <c r="F7" s="14"/>
      <c r="G7" s="35" t="s">
        <v>29</v>
      </c>
      <c r="H7" s="36"/>
      <c r="I7" s="37"/>
      <c r="J7" s="7" t="s">
        <v>28</v>
      </c>
      <c r="K7" s="5" t="str">
        <f>TEXT(K8,"ddd")</f>
        <v>Mon</v>
      </c>
      <c r="L7" s="5" t="str">
        <f t="shared" ref="L7:AO7" si="0">TEXT(L8,"ddd")</f>
        <v>Tue</v>
      </c>
      <c r="M7" s="5" t="str">
        <f t="shared" si="0"/>
        <v>Wed</v>
      </c>
      <c r="N7" s="5" t="str">
        <f t="shared" si="0"/>
        <v>Thu</v>
      </c>
      <c r="O7" s="5" t="str">
        <f t="shared" si="0"/>
        <v>Fri</v>
      </c>
      <c r="P7" s="5" t="str">
        <f t="shared" si="0"/>
        <v>Sat</v>
      </c>
      <c r="Q7" s="5" t="str">
        <f t="shared" si="0"/>
        <v>Sun</v>
      </c>
      <c r="R7" s="5" t="str">
        <f t="shared" si="0"/>
        <v>Mon</v>
      </c>
      <c r="S7" s="5" t="str">
        <f t="shared" si="0"/>
        <v>Tue</v>
      </c>
      <c r="T7" s="5" t="str">
        <f t="shared" si="0"/>
        <v>Wed</v>
      </c>
      <c r="U7" s="5" t="str">
        <f t="shared" si="0"/>
        <v>Thu</v>
      </c>
      <c r="V7" s="5" t="str">
        <f t="shared" si="0"/>
        <v>Fri</v>
      </c>
      <c r="W7" s="5" t="str">
        <f t="shared" si="0"/>
        <v>Sat</v>
      </c>
      <c r="X7" s="5" t="str">
        <f t="shared" si="0"/>
        <v>Sun</v>
      </c>
      <c r="Y7" s="5" t="str">
        <f t="shared" si="0"/>
        <v>Mon</v>
      </c>
      <c r="Z7" s="5" t="str">
        <f t="shared" si="0"/>
        <v>Tue</v>
      </c>
      <c r="AA7" s="5" t="str">
        <f t="shared" si="0"/>
        <v>Wed</v>
      </c>
      <c r="AB7" s="5" t="str">
        <f t="shared" si="0"/>
        <v>Thu</v>
      </c>
      <c r="AC7" s="5" t="str">
        <f t="shared" si="0"/>
        <v>Fri</v>
      </c>
      <c r="AD7" s="5" t="str">
        <f t="shared" si="0"/>
        <v>Sat</v>
      </c>
      <c r="AE7" s="5" t="str">
        <f t="shared" si="0"/>
        <v>Sun</v>
      </c>
      <c r="AF7" s="5" t="str">
        <f t="shared" si="0"/>
        <v>Mon</v>
      </c>
      <c r="AG7" s="5" t="str">
        <f t="shared" si="0"/>
        <v>Tue</v>
      </c>
      <c r="AH7" s="5" t="str">
        <f t="shared" si="0"/>
        <v>Wed</v>
      </c>
      <c r="AI7" s="5" t="str">
        <f t="shared" si="0"/>
        <v>Thu</v>
      </c>
      <c r="AJ7" s="5" t="str">
        <f t="shared" si="0"/>
        <v>Fri</v>
      </c>
      <c r="AK7" s="5" t="str">
        <f t="shared" si="0"/>
        <v>Sat</v>
      </c>
      <c r="AL7" s="5" t="str">
        <f t="shared" si="0"/>
        <v>Sun</v>
      </c>
      <c r="AM7" s="5" t="str">
        <f t="shared" si="0"/>
        <v>Mon</v>
      </c>
      <c r="AN7" s="5" t="str">
        <f t="shared" si="0"/>
        <v>Tue</v>
      </c>
      <c r="AO7" s="6" t="str">
        <f t="shared" si="0"/>
        <v>Wed</v>
      </c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4:59" ht="15" customHeight="1" thickBot="1" x14ac:dyDescent="0.3">
      <c r="F8" s="14"/>
      <c r="G8" s="20" t="s">
        <v>0</v>
      </c>
      <c r="H8" s="21" t="s">
        <v>23</v>
      </c>
      <c r="I8" s="22" t="s">
        <v>24</v>
      </c>
      <c r="J8" s="20" t="s">
        <v>26</v>
      </c>
      <c r="K8" s="23">
        <f>H4</f>
        <v>45992</v>
      </c>
      <c r="L8" s="23">
        <f t="shared" ref="L8:AO8" si="1">IF(K8&lt;$L$4,K8+1,"")</f>
        <v>45993</v>
      </c>
      <c r="M8" s="23">
        <f t="shared" si="1"/>
        <v>45994</v>
      </c>
      <c r="N8" s="23">
        <f t="shared" si="1"/>
        <v>45995</v>
      </c>
      <c r="O8" s="23">
        <f t="shared" si="1"/>
        <v>45996</v>
      </c>
      <c r="P8" s="23">
        <f t="shared" si="1"/>
        <v>45997</v>
      </c>
      <c r="Q8" s="23">
        <f t="shared" si="1"/>
        <v>45998</v>
      </c>
      <c r="R8" s="23">
        <f t="shared" si="1"/>
        <v>45999</v>
      </c>
      <c r="S8" s="23">
        <f t="shared" si="1"/>
        <v>46000</v>
      </c>
      <c r="T8" s="23">
        <f t="shared" si="1"/>
        <v>46001</v>
      </c>
      <c r="U8" s="23">
        <f t="shared" si="1"/>
        <v>46002</v>
      </c>
      <c r="V8" s="23">
        <f t="shared" si="1"/>
        <v>46003</v>
      </c>
      <c r="W8" s="23">
        <f t="shared" si="1"/>
        <v>46004</v>
      </c>
      <c r="X8" s="23">
        <f t="shared" si="1"/>
        <v>46005</v>
      </c>
      <c r="Y8" s="23">
        <f t="shared" si="1"/>
        <v>46006</v>
      </c>
      <c r="Z8" s="23">
        <f t="shared" si="1"/>
        <v>46007</v>
      </c>
      <c r="AA8" s="23">
        <f t="shared" si="1"/>
        <v>46008</v>
      </c>
      <c r="AB8" s="23">
        <f t="shared" si="1"/>
        <v>46009</v>
      </c>
      <c r="AC8" s="23">
        <f t="shared" si="1"/>
        <v>46010</v>
      </c>
      <c r="AD8" s="23">
        <f t="shared" si="1"/>
        <v>46011</v>
      </c>
      <c r="AE8" s="23">
        <f t="shared" si="1"/>
        <v>46012</v>
      </c>
      <c r="AF8" s="23">
        <f t="shared" si="1"/>
        <v>46013</v>
      </c>
      <c r="AG8" s="23">
        <f t="shared" si="1"/>
        <v>46014</v>
      </c>
      <c r="AH8" s="23">
        <f t="shared" si="1"/>
        <v>46015</v>
      </c>
      <c r="AI8" s="23">
        <f t="shared" si="1"/>
        <v>46016</v>
      </c>
      <c r="AJ8" s="23">
        <f t="shared" si="1"/>
        <v>46017</v>
      </c>
      <c r="AK8" s="23">
        <f t="shared" si="1"/>
        <v>46018</v>
      </c>
      <c r="AL8" s="23">
        <f t="shared" si="1"/>
        <v>46019</v>
      </c>
      <c r="AM8" s="23">
        <f t="shared" si="1"/>
        <v>46020</v>
      </c>
      <c r="AN8" s="23">
        <f t="shared" si="1"/>
        <v>46021</v>
      </c>
      <c r="AO8" s="24">
        <f t="shared" si="1"/>
        <v>46022</v>
      </c>
      <c r="AP8" s="9"/>
      <c r="AQ8" s="9"/>
      <c r="AR8" s="11" t="s">
        <v>30</v>
      </c>
      <c r="AS8" s="11" t="s">
        <v>31</v>
      </c>
      <c r="AT8" s="11" t="s">
        <v>32</v>
      </c>
      <c r="AU8" s="11" t="s">
        <v>43</v>
      </c>
      <c r="AV8" s="11" t="s">
        <v>33</v>
      </c>
      <c r="AW8" s="11" t="s">
        <v>34</v>
      </c>
      <c r="AX8" s="11" t="s">
        <v>35</v>
      </c>
      <c r="AY8" s="11" t="s">
        <v>36</v>
      </c>
      <c r="AZ8" s="11" t="s">
        <v>28</v>
      </c>
      <c r="BA8" s="11" t="s">
        <v>37</v>
      </c>
      <c r="BB8" s="11" t="s">
        <v>38</v>
      </c>
      <c r="BC8" s="11" t="s">
        <v>39</v>
      </c>
      <c r="BD8" s="11" t="s">
        <v>40</v>
      </c>
      <c r="BE8" s="11" t="s">
        <v>41</v>
      </c>
      <c r="BF8" s="9"/>
      <c r="BG8" s="9"/>
    </row>
    <row r="9" spans="4:59" ht="15" customHeight="1" x14ac:dyDescent="0.25">
      <c r="F9" s="14"/>
      <c r="G9" s="25">
        <v>1</v>
      </c>
      <c r="H9" s="33">
        <v>1001</v>
      </c>
      <c r="I9" s="27" t="s">
        <v>3</v>
      </c>
      <c r="J9" s="25">
        <f>COUNTIF($K$7:$AO$7,"Sun")</f>
        <v>4</v>
      </c>
      <c r="K9" s="34" t="s">
        <v>42</v>
      </c>
      <c r="L9" s="34" t="s">
        <v>42</v>
      </c>
      <c r="M9" s="34" t="s">
        <v>42</v>
      </c>
      <c r="N9" s="34" t="s">
        <v>46</v>
      </c>
      <c r="O9" s="34" t="s">
        <v>44</v>
      </c>
      <c r="P9" s="34" t="s">
        <v>42</v>
      </c>
      <c r="Q9" s="34" t="s">
        <v>42</v>
      </c>
      <c r="R9" s="34" t="s">
        <v>42</v>
      </c>
      <c r="S9" s="34" t="s">
        <v>42</v>
      </c>
      <c r="T9" s="34" t="s">
        <v>42</v>
      </c>
      <c r="U9" s="34" t="s">
        <v>46</v>
      </c>
      <c r="V9" s="34" t="s">
        <v>44</v>
      </c>
      <c r="W9" s="34" t="s">
        <v>42</v>
      </c>
      <c r="X9" s="34" t="s">
        <v>42</v>
      </c>
      <c r="Y9" s="34" t="s">
        <v>42</v>
      </c>
      <c r="Z9" s="34" t="s">
        <v>42</v>
      </c>
      <c r="AA9" s="34" t="s">
        <v>42</v>
      </c>
      <c r="AB9" s="34" t="s">
        <v>46</v>
      </c>
      <c r="AC9" s="34" t="s">
        <v>44</v>
      </c>
      <c r="AD9" s="34" t="s">
        <v>42</v>
      </c>
      <c r="AE9" s="34" t="s">
        <v>42</v>
      </c>
      <c r="AF9" s="34" t="s">
        <v>42</v>
      </c>
      <c r="AG9" s="34" t="s">
        <v>42</v>
      </c>
      <c r="AH9" s="34" t="s">
        <v>42</v>
      </c>
      <c r="AI9" s="34" t="s">
        <v>46</v>
      </c>
      <c r="AJ9" s="34" t="s">
        <v>44</v>
      </c>
      <c r="AK9" s="34" t="s">
        <v>42</v>
      </c>
      <c r="AL9" s="34" t="s">
        <v>42</v>
      </c>
      <c r="AM9" s="34" t="s">
        <v>42</v>
      </c>
      <c r="AN9" s="34" t="s">
        <v>42</v>
      </c>
      <c r="AO9" s="28" t="s">
        <v>46</v>
      </c>
      <c r="AP9" s="10"/>
      <c r="AQ9" s="9"/>
      <c r="AR9" s="8">
        <v>1</v>
      </c>
      <c r="AS9" s="8">
        <v>1001</v>
      </c>
      <c r="AT9" s="12" t="s">
        <v>3</v>
      </c>
      <c r="AU9" s="8" t="str">
        <f t="shared" ref="AU9:AU28" si="2">$J$4</f>
        <v>Dec</v>
      </c>
      <c r="AV9" s="11">
        <f t="shared" ref="AV9:AV28" si="3">COUNTIF($K9:$AO9,"P")</f>
        <v>22</v>
      </c>
      <c r="AW9" s="11">
        <f t="shared" ref="AW9:AW28" si="4">COUNTIF($K9:$AO9,"A")</f>
        <v>0</v>
      </c>
      <c r="AX9" s="11">
        <f t="shared" ref="AX9:AX28" si="5">COUNTIF($K9:$AO9,"L")</f>
        <v>5</v>
      </c>
      <c r="AY9" s="11">
        <f t="shared" ref="AY9:AY28" si="6">$J$9</f>
        <v>4</v>
      </c>
      <c r="AZ9" s="13">
        <f t="shared" ref="AZ9:AZ28" si="7">$I$4</f>
        <v>31</v>
      </c>
      <c r="BA9" s="13">
        <f>(decrepo[[#This Row],[Days]]-decrepo[[#This Row],[Absent]])</f>
        <v>31</v>
      </c>
      <c r="BB9" s="11">
        <f t="shared" ref="BB9:BB28" ca="1" si="8">RANDBETWEEN(10000,25000)</f>
        <v>15631</v>
      </c>
      <c r="BC9" s="13">
        <f ca="1">(decrepo[[#This Row],[Salary]]/decrepo[[#This Row],[Paid Days]])</f>
        <v>504.22580645161293</v>
      </c>
      <c r="BD9" s="13">
        <f ca="1">decrepo[[#This Row],[Salary]]*decrepo[[#This Row],[Absent]]</f>
        <v>0</v>
      </c>
      <c r="BE9" s="13">
        <f ca="1">decrepo[[#This Row],[Salary]]-decrepo[[#This Row],[Deduction]]</f>
        <v>15631</v>
      </c>
      <c r="BF9" s="9"/>
      <c r="BG9" s="9"/>
    </row>
    <row r="10" spans="4:59" ht="15" customHeight="1" x14ac:dyDescent="0.25">
      <c r="F10" s="14"/>
      <c r="G10" s="25">
        <v>2</v>
      </c>
      <c r="H10" s="33">
        <v>1002</v>
      </c>
      <c r="I10" s="27" t="s">
        <v>4</v>
      </c>
      <c r="J10" s="25">
        <f t="shared" ref="J10:J28" si="9">COUNTIF($K$7:$AO$7,"Sun")</f>
        <v>4</v>
      </c>
      <c r="K10" s="34" t="s">
        <v>45</v>
      </c>
      <c r="L10" s="34" t="s">
        <v>42</v>
      </c>
      <c r="M10" s="34" t="s">
        <v>42</v>
      </c>
      <c r="N10" s="34" t="s">
        <v>46</v>
      </c>
      <c r="O10" s="34" t="s">
        <v>44</v>
      </c>
      <c r="P10" s="34" t="s">
        <v>42</v>
      </c>
      <c r="Q10" s="34" t="s">
        <v>42</v>
      </c>
      <c r="R10" s="34" t="s">
        <v>42</v>
      </c>
      <c r="S10" s="34" t="s">
        <v>42</v>
      </c>
      <c r="T10" s="34" t="s">
        <v>42</v>
      </c>
      <c r="U10" s="34" t="s">
        <v>46</v>
      </c>
      <c r="V10" s="34" t="s">
        <v>44</v>
      </c>
      <c r="W10" s="34" t="s">
        <v>42</v>
      </c>
      <c r="X10" s="34" t="s">
        <v>42</v>
      </c>
      <c r="Y10" s="34" t="s">
        <v>42</v>
      </c>
      <c r="Z10" s="34" t="s">
        <v>42</v>
      </c>
      <c r="AA10" s="34" t="s">
        <v>42</v>
      </c>
      <c r="AB10" s="34" t="s">
        <v>46</v>
      </c>
      <c r="AC10" s="34" t="s">
        <v>44</v>
      </c>
      <c r="AD10" s="34" t="s">
        <v>42</v>
      </c>
      <c r="AE10" s="34" t="s">
        <v>42</v>
      </c>
      <c r="AF10" s="34" t="s">
        <v>42</v>
      </c>
      <c r="AG10" s="34" t="s">
        <v>42</v>
      </c>
      <c r="AH10" s="34" t="s">
        <v>42</v>
      </c>
      <c r="AI10" s="34" t="s">
        <v>46</v>
      </c>
      <c r="AJ10" s="34" t="s">
        <v>44</v>
      </c>
      <c r="AK10" s="34" t="s">
        <v>42</v>
      </c>
      <c r="AL10" s="34" t="s">
        <v>42</v>
      </c>
      <c r="AM10" s="34" t="s">
        <v>42</v>
      </c>
      <c r="AN10" s="34" t="s">
        <v>42</v>
      </c>
      <c r="AO10" s="28" t="s">
        <v>46</v>
      </c>
      <c r="AP10" s="9"/>
      <c r="AQ10" s="9"/>
      <c r="AR10" s="8">
        <v>2</v>
      </c>
      <c r="AS10" s="8">
        <v>1002</v>
      </c>
      <c r="AT10" s="12" t="s">
        <v>4</v>
      </c>
      <c r="AU10" s="8" t="str">
        <f t="shared" si="2"/>
        <v>Dec</v>
      </c>
      <c r="AV10" s="11">
        <f t="shared" si="3"/>
        <v>21</v>
      </c>
      <c r="AW10" s="11">
        <f t="shared" si="4"/>
        <v>1</v>
      </c>
      <c r="AX10" s="11">
        <f t="shared" si="5"/>
        <v>5</v>
      </c>
      <c r="AY10" s="11">
        <f t="shared" si="6"/>
        <v>4</v>
      </c>
      <c r="AZ10" s="13">
        <f t="shared" si="7"/>
        <v>31</v>
      </c>
      <c r="BA10" s="13">
        <f>(decrepo[[#This Row],[Days]]-decrepo[[#This Row],[Absent]])</f>
        <v>30</v>
      </c>
      <c r="BB10" s="11">
        <f t="shared" ca="1" si="8"/>
        <v>13685</v>
      </c>
      <c r="BC10" s="13">
        <f ca="1">(decrepo[[#This Row],[Salary]]/decrepo[[#This Row],[Paid Days]])</f>
        <v>456.16666666666669</v>
      </c>
      <c r="BD10" s="13">
        <f ca="1">decrepo[[#This Row],[Salary]]*decrepo[[#This Row],[Absent]]</f>
        <v>13685</v>
      </c>
      <c r="BE10" s="13">
        <f ca="1">decrepo[[#This Row],[Salary]]-decrepo[[#This Row],[Deduction]]</f>
        <v>0</v>
      </c>
      <c r="BF10" s="9"/>
      <c r="BG10" s="9"/>
    </row>
    <row r="11" spans="4:59" ht="15" customHeight="1" x14ac:dyDescent="0.25">
      <c r="F11" s="14"/>
      <c r="G11" s="25">
        <v>3</v>
      </c>
      <c r="H11" s="33">
        <v>1003</v>
      </c>
      <c r="I11" s="27" t="s">
        <v>5</v>
      </c>
      <c r="J11" s="25">
        <f t="shared" si="9"/>
        <v>4</v>
      </c>
      <c r="K11" s="34" t="s">
        <v>42</v>
      </c>
      <c r="L11" s="34" t="s">
        <v>42</v>
      </c>
      <c r="M11" s="34" t="s">
        <v>42</v>
      </c>
      <c r="N11" s="34" t="s">
        <v>46</v>
      </c>
      <c r="O11" s="34" t="s">
        <v>44</v>
      </c>
      <c r="P11" s="34" t="s">
        <v>42</v>
      </c>
      <c r="Q11" s="34" t="s">
        <v>42</v>
      </c>
      <c r="R11" s="34" t="s">
        <v>42</v>
      </c>
      <c r="S11" s="34" t="s">
        <v>42</v>
      </c>
      <c r="T11" s="34" t="s">
        <v>42</v>
      </c>
      <c r="U11" s="34" t="s">
        <v>46</v>
      </c>
      <c r="V11" s="34" t="s">
        <v>44</v>
      </c>
      <c r="W11" s="34" t="s">
        <v>42</v>
      </c>
      <c r="X11" s="34" t="s">
        <v>42</v>
      </c>
      <c r="Y11" s="34" t="s">
        <v>45</v>
      </c>
      <c r="Z11" s="34" t="s">
        <v>42</v>
      </c>
      <c r="AA11" s="34" t="s">
        <v>42</v>
      </c>
      <c r="AB11" s="34" t="s">
        <v>46</v>
      </c>
      <c r="AC11" s="34" t="s">
        <v>44</v>
      </c>
      <c r="AD11" s="34" t="s">
        <v>42</v>
      </c>
      <c r="AE11" s="34" t="s">
        <v>42</v>
      </c>
      <c r="AF11" s="34" t="s">
        <v>42</v>
      </c>
      <c r="AG11" s="34" t="s">
        <v>42</v>
      </c>
      <c r="AH11" s="34" t="s">
        <v>42</v>
      </c>
      <c r="AI11" s="34" t="s">
        <v>46</v>
      </c>
      <c r="AJ11" s="34" t="s">
        <v>44</v>
      </c>
      <c r="AK11" s="34" t="s">
        <v>42</v>
      </c>
      <c r="AL11" s="34" t="s">
        <v>42</v>
      </c>
      <c r="AM11" s="34" t="s">
        <v>42</v>
      </c>
      <c r="AN11" s="34" t="s">
        <v>42</v>
      </c>
      <c r="AO11" s="28" t="s">
        <v>46</v>
      </c>
      <c r="AP11" s="9"/>
      <c r="AQ11" s="9"/>
      <c r="AR11" s="8">
        <v>3</v>
      </c>
      <c r="AS11" s="8">
        <v>1003</v>
      </c>
      <c r="AT11" s="12" t="s">
        <v>5</v>
      </c>
      <c r="AU11" s="8" t="str">
        <f t="shared" si="2"/>
        <v>Dec</v>
      </c>
      <c r="AV11" s="11">
        <f t="shared" si="3"/>
        <v>21</v>
      </c>
      <c r="AW11" s="11">
        <f t="shared" si="4"/>
        <v>1</v>
      </c>
      <c r="AX11" s="11">
        <f t="shared" si="5"/>
        <v>5</v>
      </c>
      <c r="AY11" s="11">
        <f t="shared" si="6"/>
        <v>4</v>
      </c>
      <c r="AZ11" s="13">
        <f t="shared" si="7"/>
        <v>31</v>
      </c>
      <c r="BA11" s="13">
        <f>(decrepo[[#This Row],[Days]]-decrepo[[#This Row],[Absent]])</f>
        <v>30</v>
      </c>
      <c r="BB11" s="11">
        <f t="shared" ca="1" si="8"/>
        <v>12832</v>
      </c>
      <c r="BC11" s="13">
        <f ca="1">(decrepo[[#This Row],[Salary]]/decrepo[[#This Row],[Paid Days]])</f>
        <v>427.73333333333335</v>
      </c>
      <c r="BD11" s="13">
        <f ca="1">decrepo[[#This Row],[Salary]]*decrepo[[#This Row],[Absent]]</f>
        <v>12832</v>
      </c>
      <c r="BE11" s="13">
        <f ca="1">decrepo[[#This Row],[Salary]]-decrepo[[#This Row],[Deduction]]</f>
        <v>0</v>
      </c>
      <c r="BF11" s="9"/>
      <c r="BG11" s="9"/>
    </row>
    <row r="12" spans="4:59" ht="15" customHeight="1" x14ac:dyDescent="0.25">
      <c r="F12" s="14"/>
      <c r="G12" s="25">
        <v>4</v>
      </c>
      <c r="H12" s="33">
        <v>1004</v>
      </c>
      <c r="I12" s="27" t="s">
        <v>6</v>
      </c>
      <c r="J12" s="25">
        <f t="shared" si="9"/>
        <v>4</v>
      </c>
      <c r="K12" s="34" t="s">
        <v>42</v>
      </c>
      <c r="L12" s="34" t="s">
        <v>42</v>
      </c>
      <c r="M12" s="34" t="s">
        <v>42</v>
      </c>
      <c r="N12" s="34" t="s">
        <v>46</v>
      </c>
      <c r="O12" s="34" t="s">
        <v>44</v>
      </c>
      <c r="P12" s="34" t="s">
        <v>42</v>
      </c>
      <c r="Q12" s="34" t="s">
        <v>42</v>
      </c>
      <c r="R12" s="34" t="s">
        <v>45</v>
      </c>
      <c r="S12" s="34" t="s">
        <v>42</v>
      </c>
      <c r="T12" s="34" t="s">
        <v>42</v>
      </c>
      <c r="U12" s="34" t="s">
        <v>46</v>
      </c>
      <c r="V12" s="34" t="s">
        <v>44</v>
      </c>
      <c r="W12" s="34" t="s">
        <v>42</v>
      </c>
      <c r="X12" s="34" t="s">
        <v>42</v>
      </c>
      <c r="Y12" s="34" t="s">
        <v>42</v>
      </c>
      <c r="Z12" s="34" t="s">
        <v>42</v>
      </c>
      <c r="AA12" s="34" t="s">
        <v>42</v>
      </c>
      <c r="AB12" s="34" t="s">
        <v>46</v>
      </c>
      <c r="AC12" s="34" t="s">
        <v>44</v>
      </c>
      <c r="AD12" s="34" t="s">
        <v>42</v>
      </c>
      <c r="AE12" s="34" t="s">
        <v>45</v>
      </c>
      <c r="AF12" s="34" t="s">
        <v>42</v>
      </c>
      <c r="AG12" s="34" t="s">
        <v>42</v>
      </c>
      <c r="AH12" s="34" t="s">
        <v>42</v>
      </c>
      <c r="AI12" s="34" t="s">
        <v>46</v>
      </c>
      <c r="AJ12" s="34" t="s">
        <v>44</v>
      </c>
      <c r="AK12" s="34" t="s">
        <v>42</v>
      </c>
      <c r="AL12" s="34" t="s">
        <v>42</v>
      </c>
      <c r="AM12" s="34" t="s">
        <v>42</v>
      </c>
      <c r="AN12" s="34" t="s">
        <v>42</v>
      </c>
      <c r="AO12" s="28" t="s">
        <v>46</v>
      </c>
      <c r="AP12" s="9"/>
      <c r="AQ12" s="9"/>
      <c r="AR12" s="8">
        <v>4</v>
      </c>
      <c r="AS12" s="8">
        <v>1004</v>
      </c>
      <c r="AT12" s="12" t="s">
        <v>6</v>
      </c>
      <c r="AU12" s="8" t="str">
        <f t="shared" si="2"/>
        <v>Dec</v>
      </c>
      <c r="AV12" s="11">
        <f t="shared" si="3"/>
        <v>20</v>
      </c>
      <c r="AW12" s="11">
        <f t="shared" si="4"/>
        <v>2</v>
      </c>
      <c r="AX12" s="11">
        <f t="shared" si="5"/>
        <v>5</v>
      </c>
      <c r="AY12" s="11">
        <f t="shared" si="6"/>
        <v>4</v>
      </c>
      <c r="AZ12" s="13">
        <f t="shared" si="7"/>
        <v>31</v>
      </c>
      <c r="BA12" s="13">
        <f>(decrepo[[#This Row],[Days]]-decrepo[[#This Row],[Absent]])</f>
        <v>29</v>
      </c>
      <c r="BB12" s="11">
        <f t="shared" ca="1" si="8"/>
        <v>22769</v>
      </c>
      <c r="BC12" s="13">
        <f ca="1">(decrepo[[#This Row],[Salary]]/decrepo[[#This Row],[Paid Days]])</f>
        <v>785.13793103448279</v>
      </c>
      <c r="BD12" s="13">
        <f ca="1">decrepo[[#This Row],[Salary]]*decrepo[[#This Row],[Absent]]</f>
        <v>45538</v>
      </c>
      <c r="BE12" s="13">
        <f ca="1">decrepo[[#This Row],[Salary]]-decrepo[[#This Row],[Deduction]]</f>
        <v>-22769</v>
      </c>
      <c r="BF12" s="9"/>
      <c r="BG12" s="9"/>
    </row>
    <row r="13" spans="4:59" ht="15" customHeight="1" x14ac:dyDescent="0.25">
      <c r="F13" s="14"/>
      <c r="G13" s="25">
        <v>5</v>
      </c>
      <c r="H13" s="33">
        <v>1005</v>
      </c>
      <c r="I13" s="27" t="s">
        <v>7</v>
      </c>
      <c r="J13" s="25">
        <f t="shared" si="9"/>
        <v>4</v>
      </c>
      <c r="K13" s="34" t="s">
        <v>42</v>
      </c>
      <c r="L13" s="34" t="s">
        <v>42</v>
      </c>
      <c r="M13" s="34" t="s">
        <v>42</v>
      </c>
      <c r="N13" s="34" t="s">
        <v>46</v>
      </c>
      <c r="O13" s="34" t="s">
        <v>44</v>
      </c>
      <c r="P13" s="34" t="s">
        <v>42</v>
      </c>
      <c r="Q13" s="34" t="s">
        <v>42</v>
      </c>
      <c r="R13" s="34" t="s">
        <v>42</v>
      </c>
      <c r="S13" s="34" t="s">
        <v>42</v>
      </c>
      <c r="T13" s="34" t="s">
        <v>42</v>
      </c>
      <c r="U13" s="34" t="s">
        <v>46</v>
      </c>
      <c r="V13" s="34" t="s">
        <v>44</v>
      </c>
      <c r="W13" s="34" t="s">
        <v>42</v>
      </c>
      <c r="X13" s="34" t="s">
        <v>42</v>
      </c>
      <c r="Y13" s="34" t="s">
        <v>42</v>
      </c>
      <c r="Z13" s="34" t="s">
        <v>42</v>
      </c>
      <c r="AA13" s="34" t="s">
        <v>42</v>
      </c>
      <c r="AB13" s="34" t="s">
        <v>46</v>
      </c>
      <c r="AC13" s="34" t="s">
        <v>44</v>
      </c>
      <c r="AD13" s="34" t="s">
        <v>42</v>
      </c>
      <c r="AE13" s="34" t="s">
        <v>42</v>
      </c>
      <c r="AF13" s="34" t="s">
        <v>42</v>
      </c>
      <c r="AG13" s="34" t="s">
        <v>42</v>
      </c>
      <c r="AH13" s="34" t="s">
        <v>42</v>
      </c>
      <c r="AI13" s="34" t="s">
        <v>46</v>
      </c>
      <c r="AJ13" s="34" t="s">
        <v>44</v>
      </c>
      <c r="AK13" s="34" t="s">
        <v>42</v>
      </c>
      <c r="AL13" s="34" t="s">
        <v>42</v>
      </c>
      <c r="AM13" s="34" t="s">
        <v>42</v>
      </c>
      <c r="AN13" s="34" t="s">
        <v>42</v>
      </c>
      <c r="AO13" s="28" t="s">
        <v>46</v>
      </c>
      <c r="AP13" s="9"/>
      <c r="AQ13" s="9"/>
      <c r="AR13" s="8">
        <v>5</v>
      </c>
      <c r="AS13" s="8">
        <v>1005</v>
      </c>
      <c r="AT13" s="12" t="s">
        <v>7</v>
      </c>
      <c r="AU13" s="8" t="str">
        <f t="shared" si="2"/>
        <v>Dec</v>
      </c>
      <c r="AV13" s="11">
        <f t="shared" si="3"/>
        <v>22</v>
      </c>
      <c r="AW13" s="11">
        <f t="shared" si="4"/>
        <v>0</v>
      </c>
      <c r="AX13" s="11">
        <f t="shared" si="5"/>
        <v>5</v>
      </c>
      <c r="AY13" s="11">
        <f t="shared" si="6"/>
        <v>4</v>
      </c>
      <c r="AZ13" s="13">
        <f t="shared" si="7"/>
        <v>31</v>
      </c>
      <c r="BA13" s="13">
        <f>(decrepo[[#This Row],[Days]]-decrepo[[#This Row],[Absent]])</f>
        <v>31</v>
      </c>
      <c r="BB13" s="11">
        <f t="shared" ca="1" si="8"/>
        <v>23341</v>
      </c>
      <c r="BC13" s="13">
        <f ca="1">(decrepo[[#This Row],[Salary]]/decrepo[[#This Row],[Paid Days]])</f>
        <v>752.93548387096769</v>
      </c>
      <c r="BD13" s="13">
        <f ca="1">decrepo[[#This Row],[Salary]]*decrepo[[#This Row],[Absent]]</f>
        <v>0</v>
      </c>
      <c r="BE13" s="13">
        <f ca="1">decrepo[[#This Row],[Salary]]-decrepo[[#This Row],[Deduction]]</f>
        <v>23341</v>
      </c>
      <c r="BF13" s="9"/>
      <c r="BG13" s="9"/>
    </row>
    <row r="14" spans="4:59" ht="15" customHeight="1" x14ac:dyDescent="0.25">
      <c r="F14" s="14"/>
      <c r="G14" s="25">
        <v>6</v>
      </c>
      <c r="H14" s="33">
        <v>1006</v>
      </c>
      <c r="I14" s="27" t="s">
        <v>8</v>
      </c>
      <c r="J14" s="25">
        <f t="shared" si="9"/>
        <v>4</v>
      </c>
      <c r="K14" s="34" t="s">
        <v>42</v>
      </c>
      <c r="L14" s="34" t="s">
        <v>42</v>
      </c>
      <c r="M14" s="34" t="s">
        <v>42</v>
      </c>
      <c r="N14" s="34" t="s">
        <v>46</v>
      </c>
      <c r="O14" s="34" t="s">
        <v>44</v>
      </c>
      <c r="P14" s="34" t="s">
        <v>42</v>
      </c>
      <c r="Q14" s="34" t="s">
        <v>42</v>
      </c>
      <c r="R14" s="34" t="s">
        <v>42</v>
      </c>
      <c r="S14" s="34" t="s">
        <v>42</v>
      </c>
      <c r="T14" s="34" t="s">
        <v>42</v>
      </c>
      <c r="U14" s="34" t="s">
        <v>46</v>
      </c>
      <c r="V14" s="34" t="s">
        <v>44</v>
      </c>
      <c r="W14" s="34" t="s">
        <v>45</v>
      </c>
      <c r="X14" s="34" t="s">
        <v>42</v>
      </c>
      <c r="Y14" s="34" t="s">
        <v>42</v>
      </c>
      <c r="Z14" s="34" t="s">
        <v>42</v>
      </c>
      <c r="AA14" s="34" t="s">
        <v>42</v>
      </c>
      <c r="AB14" s="34" t="s">
        <v>46</v>
      </c>
      <c r="AC14" s="34" t="s">
        <v>44</v>
      </c>
      <c r="AD14" s="34" t="s">
        <v>45</v>
      </c>
      <c r="AE14" s="34" t="s">
        <v>42</v>
      </c>
      <c r="AF14" s="34" t="s">
        <v>42</v>
      </c>
      <c r="AG14" s="34" t="s">
        <v>42</v>
      </c>
      <c r="AH14" s="34" t="s">
        <v>42</v>
      </c>
      <c r="AI14" s="34" t="s">
        <v>46</v>
      </c>
      <c r="AJ14" s="34" t="s">
        <v>44</v>
      </c>
      <c r="AK14" s="34" t="s">
        <v>45</v>
      </c>
      <c r="AL14" s="34" t="s">
        <v>42</v>
      </c>
      <c r="AM14" s="34" t="s">
        <v>42</v>
      </c>
      <c r="AN14" s="34" t="s">
        <v>42</v>
      </c>
      <c r="AO14" s="28" t="s">
        <v>46</v>
      </c>
      <c r="AP14" s="9"/>
      <c r="AQ14" s="9"/>
      <c r="AR14" s="8">
        <v>6</v>
      </c>
      <c r="AS14" s="8">
        <v>1006</v>
      </c>
      <c r="AT14" s="12" t="s">
        <v>8</v>
      </c>
      <c r="AU14" s="8" t="str">
        <f t="shared" si="2"/>
        <v>Dec</v>
      </c>
      <c r="AV14" s="11">
        <f t="shared" si="3"/>
        <v>19</v>
      </c>
      <c r="AW14" s="11">
        <f t="shared" si="4"/>
        <v>3</v>
      </c>
      <c r="AX14" s="11">
        <f t="shared" si="5"/>
        <v>5</v>
      </c>
      <c r="AY14" s="11">
        <f t="shared" si="6"/>
        <v>4</v>
      </c>
      <c r="AZ14" s="13">
        <f t="shared" si="7"/>
        <v>31</v>
      </c>
      <c r="BA14" s="13">
        <f>(decrepo[[#This Row],[Days]]-decrepo[[#This Row],[Absent]])</f>
        <v>28</v>
      </c>
      <c r="BB14" s="11">
        <f t="shared" ca="1" si="8"/>
        <v>13102</v>
      </c>
      <c r="BC14" s="13">
        <f ca="1">(decrepo[[#This Row],[Salary]]/decrepo[[#This Row],[Paid Days]])</f>
        <v>467.92857142857144</v>
      </c>
      <c r="BD14" s="13">
        <f ca="1">decrepo[[#This Row],[Salary]]*decrepo[[#This Row],[Absent]]</f>
        <v>39306</v>
      </c>
      <c r="BE14" s="13">
        <f ca="1">decrepo[[#This Row],[Salary]]-decrepo[[#This Row],[Deduction]]</f>
        <v>-26204</v>
      </c>
      <c r="BF14" s="9"/>
      <c r="BG14" s="9"/>
    </row>
    <row r="15" spans="4:59" ht="15" customHeight="1" x14ac:dyDescent="0.25">
      <c r="F15" s="14"/>
      <c r="G15" s="25">
        <v>7</v>
      </c>
      <c r="H15" s="33">
        <v>1007</v>
      </c>
      <c r="I15" s="27" t="s">
        <v>9</v>
      </c>
      <c r="J15" s="25">
        <f t="shared" si="9"/>
        <v>4</v>
      </c>
      <c r="K15" s="34" t="s">
        <v>42</v>
      </c>
      <c r="L15" s="34" t="s">
        <v>45</v>
      </c>
      <c r="M15" s="34" t="s">
        <v>42</v>
      </c>
      <c r="N15" s="34" t="s">
        <v>46</v>
      </c>
      <c r="O15" s="34" t="s">
        <v>44</v>
      </c>
      <c r="P15" s="34" t="s">
        <v>42</v>
      </c>
      <c r="Q15" s="34" t="s">
        <v>42</v>
      </c>
      <c r="R15" s="34" t="s">
        <v>42</v>
      </c>
      <c r="S15" s="34" t="s">
        <v>42</v>
      </c>
      <c r="T15" s="34" t="s">
        <v>42</v>
      </c>
      <c r="U15" s="34" t="s">
        <v>46</v>
      </c>
      <c r="V15" s="34" t="s">
        <v>44</v>
      </c>
      <c r="W15" s="34" t="s">
        <v>42</v>
      </c>
      <c r="X15" s="34" t="s">
        <v>42</v>
      </c>
      <c r="Y15" s="34" t="s">
        <v>42</v>
      </c>
      <c r="Z15" s="34" t="s">
        <v>42</v>
      </c>
      <c r="AA15" s="34" t="s">
        <v>42</v>
      </c>
      <c r="AB15" s="34" t="s">
        <v>46</v>
      </c>
      <c r="AC15" s="34" t="s">
        <v>44</v>
      </c>
      <c r="AD15" s="34" t="s">
        <v>42</v>
      </c>
      <c r="AE15" s="34" t="s">
        <v>42</v>
      </c>
      <c r="AF15" s="34" t="s">
        <v>42</v>
      </c>
      <c r="AG15" s="34" t="s">
        <v>42</v>
      </c>
      <c r="AH15" s="34" t="s">
        <v>42</v>
      </c>
      <c r="AI15" s="34" t="s">
        <v>46</v>
      </c>
      <c r="AJ15" s="34" t="s">
        <v>44</v>
      </c>
      <c r="AK15" s="34" t="s">
        <v>42</v>
      </c>
      <c r="AL15" s="34" t="s">
        <v>42</v>
      </c>
      <c r="AM15" s="34" t="s">
        <v>45</v>
      </c>
      <c r="AN15" s="34" t="s">
        <v>42</v>
      </c>
      <c r="AO15" s="28" t="s">
        <v>46</v>
      </c>
      <c r="AP15" s="9"/>
      <c r="AQ15" s="9"/>
      <c r="AR15" s="8">
        <v>7</v>
      </c>
      <c r="AS15" s="8">
        <v>1007</v>
      </c>
      <c r="AT15" s="12" t="s">
        <v>9</v>
      </c>
      <c r="AU15" s="8" t="str">
        <f t="shared" si="2"/>
        <v>Dec</v>
      </c>
      <c r="AV15" s="11">
        <f t="shared" si="3"/>
        <v>20</v>
      </c>
      <c r="AW15" s="11">
        <f t="shared" si="4"/>
        <v>2</v>
      </c>
      <c r="AX15" s="11">
        <f t="shared" si="5"/>
        <v>5</v>
      </c>
      <c r="AY15" s="11">
        <f t="shared" si="6"/>
        <v>4</v>
      </c>
      <c r="AZ15" s="13">
        <f t="shared" si="7"/>
        <v>31</v>
      </c>
      <c r="BA15" s="13">
        <f>(decrepo[[#This Row],[Days]]-decrepo[[#This Row],[Absent]])</f>
        <v>29</v>
      </c>
      <c r="BB15" s="11">
        <f t="shared" ca="1" si="8"/>
        <v>21440</v>
      </c>
      <c r="BC15" s="13">
        <f ca="1">(decrepo[[#This Row],[Salary]]/decrepo[[#This Row],[Paid Days]])</f>
        <v>739.31034482758616</v>
      </c>
      <c r="BD15" s="13">
        <f ca="1">decrepo[[#This Row],[Salary]]*decrepo[[#This Row],[Absent]]</f>
        <v>42880</v>
      </c>
      <c r="BE15" s="13">
        <f ca="1">decrepo[[#This Row],[Salary]]-decrepo[[#This Row],[Deduction]]</f>
        <v>-21440</v>
      </c>
      <c r="BF15" s="9"/>
      <c r="BG15" s="9"/>
    </row>
    <row r="16" spans="4:59" ht="15" customHeight="1" x14ac:dyDescent="0.25">
      <c r="F16" s="14"/>
      <c r="G16" s="25">
        <v>8</v>
      </c>
      <c r="H16" s="33">
        <v>1008</v>
      </c>
      <c r="I16" s="27" t="s">
        <v>10</v>
      </c>
      <c r="J16" s="25">
        <f t="shared" si="9"/>
        <v>4</v>
      </c>
      <c r="K16" s="34" t="s">
        <v>42</v>
      </c>
      <c r="L16" s="34" t="s">
        <v>42</v>
      </c>
      <c r="M16" s="34" t="s">
        <v>42</v>
      </c>
      <c r="N16" s="34" t="s">
        <v>46</v>
      </c>
      <c r="O16" s="34" t="s">
        <v>44</v>
      </c>
      <c r="P16" s="34" t="s">
        <v>42</v>
      </c>
      <c r="Q16" s="34" t="s">
        <v>42</v>
      </c>
      <c r="R16" s="34" t="s">
        <v>42</v>
      </c>
      <c r="S16" s="34" t="s">
        <v>42</v>
      </c>
      <c r="T16" s="34" t="s">
        <v>42</v>
      </c>
      <c r="U16" s="34" t="s">
        <v>46</v>
      </c>
      <c r="V16" s="34" t="s">
        <v>44</v>
      </c>
      <c r="W16" s="34" t="s">
        <v>42</v>
      </c>
      <c r="X16" s="34" t="s">
        <v>45</v>
      </c>
      <c r="Y16" s="34" t="s">
        <v>42</v>
      </c>
      <c r="Z16" s="34" t="s">
        <v>42</v>
      </c>
      <c r="AA16" s="34" t="s">
        <v>42</v>
      </c>
      <c r="AB16" s="34" t="s">
        <v>46</v>
      </c>
      <c r="AC16" s="34" t="s">
        <v>44</v>
      </c>
      <c r="AD16" s="34" t="s">
        <v>42</v>
      </c>
      <c r="AE16" s="34" t="s">
        <v>42</v>
      </c>
      <c r="AF16" s="34" t="s">
        <v>42</v>
      </c>
      <c r="AG16" s="34" t="s">
        <v>42</v>
      </c>
      <c r="AH16" s="34" t="s">
        <v>42</v>
      </c>
      <c r="AI16" s="34" t="s">
        <v>46</v>
      </c>
      <c r="AJ16" s="34" t="s">
        <v>44</v>
      </c>
      <c r="AK16" s="34" t="s">
        <v>42</v>
      </c>
      <c r="AL16" s="34" t="s">
        <v>42</v>
      </c>
      <c r="AM16" s="34" t="s">
        <v>42</v>
      </c>
      <c r="AN16" s="34" t="s">
        <v>45</v>
      </c>
      <c r="AO16" s="28" t="s">
        <v>46</v>
      </c>
      <c r="AP16" s="9"/>
      <c r="AQ16" s="9"/>
      <c r="AR16" s="8">
        <v>8</v>
      </c>
      <c r="AS16" s="8">
        <v>1008</v>
      </c>
      <c r="AT16" s="12" t="s">
        <v>10</v>
      </c>
      <c r="AU16" s="8" t="str">
        <f t="shared" si="2"/>
        <v>Dec</v>
      </c>
      <c r="AV16" s="11">
        <f t="shared" si="3"/>
        <v>20</v>
      </c>
      <c r="AW16" s="11">
        <f t="shared" si="4"/>
        <v>2</v>
      </c>
      <c r="AX16" s="11">
        <f t="shared" si="5"/>
        <v>5</v>
      </c>
      <c r="AY16" s="11">
        <f t="shared" si="6"/>
        <v>4</v>
      </c>
      <c r="AZ16" s="13">
        <f t="shared" si="7"/>
        <v>31</v>
      </c>
      <c r="BA16" s="13">
        <f>(decrepo[[#This Row],[Days]]-decrepo[[#This Row],[Absent]])</f>
        <v>29</v>
      </c>
      <c r="BB16" s="11">
        <f t="shared" ca="1" si="8"/>
        <v>17295</v>
      </c>
      <c r="BC16" s="13">
        <f ca="1">(decrepo[[#This Row],[Salary]]/decrepo[[#This Row],[Paid Days]])</f>
        <v>596.37931034482756</v>
      </c>
      <c r="BD16" s="13">
        <f ca="1">decrepo[[#This Row],[Salary]]*decrepo[[#This Row],[Absent]]</f>
        <v>34590</v>
      </c>
      <c r="BE16" s="13">
        <f ca="1">decrepo[[#This Row],[Salary]]-decrepo[[#This Row],[Deduction]]</f>
        <v>-17295</v>
      </c>
      <c r="BF16" s="9"/>
      <c r="BG16" s="9"/>
    </row>
    <row r="17" spans="6:59" ht="15" customHeight="1" x14ac:dyDescent="0.25">
      <c r="F17" s="14"/>
      <c r="G17" s="25">
        <v>9</v>
      </c>
      <c r="H17" s="33">
        <v>1009</v>
      </c>
      <c r="I17" s="27" t="s">
        <v>11</v>
      </c>
      <c r="J17" s="25">
        <f t="shared" si="9"/>
        <v>4</v>
      </c>
      <c r="K17" s="34" t="s">
        <v>42</v>
      </c>
      <c r="L17" s="34" t="s">
        <v>42</v>
      </c>
      <c r="M17" s="34" t="s">
        <v>42</v>
      </c>
      <c r="N17" s="34" t="s">
        <v>46</v>
      </c>
      <c r="O17" s="34" t="s">
        <v>44</v>
      </c>
      <c r="P17" s="34" t="s">
        <v>42</v>
      </c>
      <c r="Q17" s="34" t="s">
        <v>42</v>
      </c>
      <c r="R17" s="34" t="s">
        <v>42</v>
      </c>
      <c r="S17" s="34" t="s">
        <v>42</v>
      </c>
      <c r="T17" s="34" t="s">
        <v>42</v>
      </c>
      <c r="U17" s="34" t="s">
        <v>46</v>
      </c>
      <c r="V17" s="34" t="s">
        <v>44</v>
      </c>
      <c r="W17" s="34" t="s">
        <v>42</v>
      </c>
      <c r="X17" s="34" t="s">
        <v>42</v>
      </c>
      <c r="Y17" s="34" t="s">
        <v>42</v>
      </c>
      <c r="Z17" s="34" t="s">
        <v>42</v>
      </c>
      <c r="AA17" s="34" t="s">
        <v>42</v>
      </c>
      <c r="AB17" s="34" t="s">
        <v>46</v>
      </c>
      <c r="AC17" s="34" t="s">
        <v>44</v>
      </c>
      <c r="AD17" s="34" t="s">
        <v>42</v>
      </c>
      <c r="AE17" s="34" t="s">
        <v>42</v>
      </c>
      <c r="AF17" s="34" t="s">
        <v>42</v>
      </c>
      <c r="AG17" s="34" t="s">
        <v>42</v>
      </c>
      <c r="AH17" s="34" t="s">
        <v>42</v>
      </c>
      <c r="AI17" s="34" t="s">
        <v>46</v>
      </c>
      <c r="AJ17" s="34" t="s">
        <v>44</v>
      </c>
      <c r="AK17" s="34" t="s">
        <v>42</v>
      </c>
      <c r="AL17" s="34" t="s">
        <v>42</v>
      </c>
      <c r="AM17" s="34" t="s">
        <v>42</v>
      </c>
      <c r="AN17" s="34" t="s">
        <v>45</v>
      </c>
      <c r="AO17" s="28" t="s">
        <v>46</v>
      </c>
      <c r="AP17" s="9"/>
      <c r="AQ17" s="9"/>
      <c r="AR17" s="8">
        <v>9</v>
      </c>
      <c r="AS17" s="8">
        <v>1009</v>
      </c>
      <c r="AT17" s="12" t="s">
        <v>11</v>
      </c>
      <c r="AU17" s="8" t="str">
        <f t="shared" si="2"/>
        <v>Dec</v>
      </c>
      <c r="AV17" s="11">
        <f t="shared" si="3"/>
        <v>21</v>
      </c>
      <c r="AW17" s="11">
        <f t="shared" si="4"/>
        <v>1</v>
      </c>
      <c r="AX17" s="11">
        <f t="shared" si="5"/>
        <v>5</v>
      </c>
      <c r="AY17" s="11">
        <f t="shared" si="6"/>
        <v>4</v>
      </c>
      <c r="AZ17" s="13">
        <f t="shared" si="7"/>
        <v>31</v>
      </c>
      <c r="BA17" s="13">
        <f>(decrepo[[#This Row],[Days]]-decrepo[[#This Row],[Absent]])</f>
        <v>30</v>
      </c>
      <c r="BB17" s="11">
        <f t="shared" ca="1" si="8"/>
        <v>12703</v>
      </c>
      <c r="BC17" s="13">
        <f ca="1">(decrepo[[#This Row],[Salary]]/decrepo[[#This Row],[Paid Days]])</f>
        <v>423.43333333333334</v>
      </c>
      <c r="BD17" s="13">
        <f ca="1">decrepo[[#This Row],[Salary]]*decrepo[[#This Row],[Absent]]</f>
        <v>12703</v>
      </c>
      <c r="BE17" s="13">
        <f ca="1">decrepo[[#This Row],[Salary]]-decrepo[[#This Row],[Deduction]]</f>
        <v>0</v>
      </c>
      <c r="BF17" s="9"/>
      <c r="BG17" s="9"/>
    </row>
    <row r="18" spans="6:59" ht="15" customHeight="1" x14ac:dyDescent="0.25">
      <c r="F18" s="14"/>
      <c r="G18" s="25">
        <v>10</v>
      </c>
      <c r="H18" s="33">
        <v>1010</v>
      </c>
      <c r="I18" s="27" t="s">
        <v>12</v>
      </c>
      <c r="J18" s="25">
        <f t="shared" si="9"/>
        <v>4</v>
      </c>
      <c r="K18" s="34" t="s">
        <v>42</v>
      </c>
      <c r="L18" s="34" t="s">
        <v>42</v>
      </c>
      <c r="M18" s="34" t="s">
        <v>42</v>
      </c>
      <c r="N18" s="34" t="s">
        <v>46</v>
      </c>
      <c r="O18" s="34" t="s">
        <v>44</v>
      </c>
      <c r="P18" s="34" t="s">
        <v>42</v>
      </c>
      <c r="Q18" s="34" t="s">
        <v>45</v>
      </c>
      <c r="R18" s="34" t="s">
        <v>42</v>
      </c>
      <c r="S18" s="34" t="s">
        <v>42</v>
      </c>
      <c r="T18" s="34" t="s">
        <v>42</v>
      </c>
      <c r="U18" s="34" t="s">
        <v>46</v>
      </c>
      <c r="V18" s="34" t="s">
        <v>44</v>
      </c>
      <c r="W18" s="34" t="s">
        <v>45</v>
      </c>
      <c r="X18" s="34" t="s">
        <v>42</v>
      </c>
      <c r="Y18" s="34" t="s">
        <v>42</v>
      </c>
      <c r="Z18" s="34" t="s">
        <v>42</v>
      </c>
      <c r="AA18" s="34" t="s">
        <v>42</v>
      </c>
      <c r="AB18" s="34" t="s">
        <v>46</v>
      </c>
      <c r="AC18" s="34" t="s">
        <v>44</v>
      </c>
      <c r="AD18" s="34" t="s">
        <v>42</v>
      </c>
      <c r="AE18" s="34" t="s">
        <v>42</v>
      </c>
      <c r="AF18" s="34" t="s">
        <v>42</v>
      </c>
      <c r="AG18" s="34" t="s">
        <v>42</v>
      </c>
      <c r="AH18" s="34" t="s">
        <v>42</v>
      </c>
      <c r="AI18" s="34" t="s">
        <v>46</v>
      </c>
      <c r="AJ18" s="34" t="s">
        <v>44</v>
      </c>
      <c r="AK18" s="34" t="s">
        <v>42</v>
      </c>
      <c r="AL18" s="34" t="s">
        <v>42</v>
      </c>
      <c r="AM18" s="34" t="s">
        <v>42</v>
      </c>
      <c r="AN18" s="34" t="s">
        <v>42</v>
      </c>
      <c r="AO18" s="28" t="s">
        <v>46</v>
      </c>
      <c r="AP18" s="9"/>
      <c r="AQ18" s="9"/>
      <c r="AR18" s="8">
        <v>10</v>
      </c>
      <c r="AS18" s="8">
        <v>1010</v>
      </c>
      <c r="AT18" s="12" t="s">
        <v>12</v>
      </c>
      <c r="AU18" s="8" t="str">
        <f t="shared" si="2"/>
        <v>Dec</v>
      </c>
      <c r="AV18" s="11">
        <f t="shared" si="3"/>
        <v>20</v>
      </c>
      <c r="AW18" s="11">
        <f t="shared" si="4"/>
        <v>2</v>
      </c>
      <c r="AX18" s="11">
        <f t="shared" si="5"/>
        <v>5</v>
      </c>
      <c r="AY18" s="11">
        <f t="shared" si="6"/>
        <v>4</v>
      </c>
      <c r="AZ18" s="13">
        <f t="shared" si="7"/>
        <v>31</v>
      </c>
      <c r="BA18" s="13">
        <f>(decrepo[[#This Row],[Days]]-decrepo[[#This Row],[Absent]])</f>
        <v>29</v>
      </c>
      <c r="BB18" s="11">
        <f t="shared" ca="1" si="8"/>
        <v>13226</v>
      </c>
      <c r="BC18" s="13">
        <f ca="1">(decrepo[[#This Row],[Salary]]/decrepo[[#This Row],[Paid Days]])</f>
        <v>456.06896551724139</v>
      </c>
      <c r="BD18" s="13">
        <f ca="1">decrepo[[#This Row],[Salary]]*decrepo[[#This Row],[Absent]]</f>
        <v>26452</v>
      </c>
      <c r="BE18" s="13">
        <f ca="1">decrepo[[#This Row],[Salary]]-decrepo[[#This Row],[Deduction]]</f>
        <v>-13226</v>
      </c>
      <c r="BF18" s="9"/>
      <c r="BG18" s="9"/>
    </row>
    <row r="19" spans="6:59" ht="15" customHeight="1" x14ac:dyDescent="0.25">
      <c r="F19" s="14"/>
      <c r="G19" s="25">
        <v>11</v>
      </c>
      <c r="H19" s="33">
        <v>1011</v>
      </c>
      <c r="I19" s="27" t="s">
        <v>13</v>
      </c>
      <c r="J19" s="25">
        <f t="shared" si="9"/>
        <v>4</v>
      </c>
      <c r="K19" s="34" t="s">
        <v>42</v>
      </c>
      <c r="L19" s="34" t="s">
        <v>42</v>
      </c>
      <c r="M19" s="34" t="s">
        <v>42</v>
      </c>
      <c r="N19" s="34" t="s">
        <v>46</v>
      </c>
      <c r="O19" s="34" t="s">
        <v>44</v>
      </c>
      <c r="P19" s="34" t="s">
        <v>42</v>
      </c>
      <c r="Q19" s="34" t="s">
        <v>42</v>
      </c>
      <c r="R19" s="34" t="s">
        <v>42</v>
      </c>
      <c r="S19" s="34" t="s">
        <v>42</v>
      </c>
      <c r="T19" s="34" t="s">
        <v>42</v>
      </c>
      <c r="U19" s="34" t="s">
        <v>46</v>
      </c>
      <c r="V19" s="34" t="s">
        <v>44</v>
      </c>
      <c r="W19" s="34" t="s">
        <v>45</v>
      </c>
      <c r="X19" s="34" t="s">
        <v>42</v>
      </c>
      <c r="Y19" s="34" t="s">
        <v>42</v>
      </c>
      <c r="Z19" s="34" t="s">
        <v>42</v>
      </c>
      <c r="AA19" s="34" t="s">
        <v>42</v>
      </c>
      <c r="AB19" s="34" t="s">
        <v>46</v>
      </c>
      <c r="AC19" s="34" t="s">
        <v>44</v>
      </c>
      <c r="AD19" s="34" t="s">
        <v>42</v>
      </c>
      <c r="AE19" s="34" t="s">
        <v>42</v>
      </c>
      <c r="AF19" s="34" t="s">
        <v>42</v>
      </c>
      <c r="AG19" s="34" t="s">
        <v>42</v>
      </c>
      <c r="AH19" s="34" t="s">
        <v>42</v>
      </c>
      <c r="AI19" s="34" t="s">
        <v>46</v>
      </c>
      <c r="AJ19" s="34" t="s">
        <v>44</v>
      </c>
      <c r="AK19" s="34" t="s">
        <v>42</v>
      </c>
      <c r="AL19" s="34" t="s">
        <v>42</v>
      </c>
      <c r="AM19" s="34" t="s">
        <v>42</v>
      </c>
      <c r="AN19" s="34" t="s">
        <v>42</v>
      </c>
      <c r="AO19" s="28" t="s">
        <v>46</v>
      </c>
      <c r="AP19" s="9"/>
      <c r="AQ19" s="9"/>
      <c r="AR19" s="8">
        <v>11</v>
      </c>
      <c r="AS19" s="8">
        <v>1011</v>
      </c>
      <c r="AT19" s="12" t="s">
        <v>13</v>
      </c>
      <c r="AU19" s="8" t="str">
        <f t="shared" si="2"/>
        <v>Dec</v>
      </c>
      <c r="AV19" s="11">
        <f t="shared" si="3"/>
        <v>21</v>
      </c>
      <c r="AW19" s="11">
        <f t="shared" si="4"/>
        <v>1</v>
      </c>
      <c r="AX19" s="11">
        <f t="shared" si="5"/>
        <v>5</v>
      </c>
      <c r="AY19" s="11">
        <f t="shared" si="6"/>
        <v>4</v>
      </c>
      <c r="AZ19" s="13">
        <f t="shared" si="7"/>
        <v>31</v>
      </c>
      <c r="BA19" s="13">
        <f>(decrepo[[#This Row],[Days]]-decrepo[[#This Row],[Absent]])</f>
        <v>30</v>
      </c>
      <c r="BB19" s="11">
        <f t="shared" ca="1" si="8"/>
        <v>23509</v>
      </c>
      <c r="BC19" s="13">
        <f ca="1">(decrepo[[#This Row],[Salary]]/decrepo[[#This Row],[Paid Days]])</f>
        <v>783.63333333333333</v>
      </c>
      <c r="BD19" s="13">
        <f ca="1">decrepo[[#This Row],[Salary]]*decrepo[[#This Row],[Absent]]</f>
        <v>23509</v>
      </c>
      <c r="BE19" s="13">
        <f ca="1">decrepo[[#This Row],[Salary]]-decrepo[[#This Row],[Deduction]]</f>
        <v>0</v>
      </c>
      <c r="BF19" s="9"/>
      <c r="BG19" s="9"/>
    </row>
    <row r="20" spans="6:59" ht="15" customHeight="1" x14ac:dyDescent="0.25">
      <c r="F20" s="14"/>
      <c r="G20" s="25">
        <v>12</v>
      </c>
      <c r="H20" s="33">
        <v>1012</v>
      </c>
      <c r="I20" s="27" t="s">
        <v>14</v>
      </c>
      <c r="J20" s="25">
        <f t="shared" si="9"/>
        <v>4</v>
      </c>
      <c r="K20" s="34" t="s">
        <v>42</v>
      </c>
      <c r="L20" s="34" t="s">
        <v>45</v>
      </c>
      <c r="M20" s="34" t="s">
        <v>42</v>
      </c>
      <c r="N20" s="34" t="s">
        <v>46</v>
      </c>
      <c r="O20" s="34" t="s">
        <v>44</v>
      </c>
      <c r="P20" s="34" t="s">
        <v>42</v>
      </c>
      <c r="Q20" s="34" t="s">
        <v>42</v>
      </c>
      <c r="R20" s="34" t="s">
        <v>42</v>
      </c>
      <c r="S20" s="34" t="s">
        <v>42</v>
      </c>
      <c r="T20" s="34" t="s">
        <v>42</v>
      </c>
      <c r="U20" s="34" t="s">
        <v>46</v>
      </c>
      <c r="V20" s="34" t="s">
        <v>44</v>
      </c>
      <c r="W20" s="34" t="s">
        <v>42</v>
      </c>
      <c r="X20" s="34" t="s">
        <v>42</v>
      </c>
      <c r="Y20" s="34" t="s">
        <v>42</v>
      </c>
      <c r="Z20" s="34" t="s">
        <v>42</v>
      </c>
      <c r="AA20" s="34" t="s">
        <v>45</v>
      </c>
      <c r="AB20" s="34" t="s">
        <v>46</v>
      </c>
      <c r="AC20" s="34" t="s">
        <v>44</v>
      </c>
      <c r="AD20" s="34" t="s">
        <v>42</v>
      </c>
      <c r="AE20" s="34" t="s">
        <v>42</v>
      </c>
      <c r="AF20" s="34" t="s">
        <v>42</v>
      </c>
      <c r="AG20" s="34" t="s">
        <v>45</v>
      </c>
      <c r="AH20" s="34" t="s">
        <v>42</v>
      </c>
      <c r="AI20" s="34" t="s">
        <v>46</v>
      </c>
      <c r="AJ20" s="34" t="s">
        <v>44</v>
      </c>
      <c r="AK20" s="34" t="s">
        <v>42</v>
      </c>
      <c r="AL20" s="34" t="s">
        <v>42</v>
      </c>
      <c r="AM20" s="34" t="s">
        <v>42</v>
      </c>
      <c r="AN20" s="34" t="s">
        <v>42</v>
      </c>
      <c r="AO20" s="28" t="s">
        <v>46</v>
      </c>
      <c r="AP20" s="9"/>
      <c r="AQ20" s="9"/>
      <c r="AR20" s="8">
        <v>12</v>
      </c>
      <c r="AS20" s="8">
        <v>1012</v>
      </c>
      <c r="AT20" s="12" t="s">
        <v>14</v>
      </c>
      <c r="AU20" s="8" t="str">
        <f t="shared" si="2"/>
        <v>Dec</v>
      </c>
      <c r="AV20" s="11">
        <f t="shared" si="3"/>
        <v>19</v>
      </c>
      <c r="AW20" s="11">
        <f t="shared" si="4"/>
        <v>3</v>
      </c>
      <c r="AX20" s="11">
        <f t="shared" si="5"/>
        <v>5</v>
      </c>
      <c r="AY20" s="11">
        <f t="shared" si="6"/>
        <v>4</v>
      </c>
      <c r="AZ20" s="13">
        <f t="shared" si="7"/>
        <v>31</v>
      </c>
      <c r="BA20" s="13">
        <f>(decrepo[[#This Row],[Days]]-decrepo[[#This Row],[Absent]])</f>
        <v>28</v>
      </c>
      <c r="BB20" s="11">
        <f t="shared" ca="1" si="8"/>
        <v>18022</v>
      </c>
      <c r="BC20" s="13">
        <f ca="1">(decrepo[[#This Row],[Salary]]/decrepo[[#This Row],[Paid Days]])</f>
        <v>643.64285714285711</v>
      </c>
      <c r="BD20" s="13">
        <f ca="1">decrepo[[#This Row],[Salary]]*decrepo[[#This Row],[Absent]]</f>
        <v>54066</v>
      </c>
      <c r="BE20" s="13">
        <f ca="1">decrepo[[#This Row],[Salary]]-decrepo[[#This Row],[Deduction]]</f>
        <v>-36044</v>
      </c>
      <c r="BF20" s="9"/>
      <c r="BG20" s="9"/>
    </row>
    <row r="21" spans="6:59" ht="15" customHeight="1" x14ac:dyDescent="0.25">
      <c r="F21" s="14"/>
      <c r="G21" s="25">
        <v>13</v>
      </c>
      <c r="H21" s="33">
        <v>1013</v>
      </c>
      <c r="I21" s="27" t="s">
        <v>15</v>
      </c>
      <c r="J21" s="25">
        <f t="shared" si="9"/>
        <v>4</v>
      </c>
      <c r="K21" s="34" t="s">
        <v>42</v>
      </c>
      <c r="L21" s="34" t="s">
        <v>42</v>
      </c>
      <c r="M21" s="34" t="s">
        <v>42</v>
      </c>
      <c r="N21" s="34" t="s">
        <v>46</v>
      </c>
      <c r="O21" s="34" t="s">
        <v>44</v>
      </c>
      <c r="P21" s="34" t="s">
        <v>42</v>
      </c>
      <c r="Q21" s="34" t="s">
        <v>42</v>
      </c>
      <c r="R21" s="34" t="s">
        <v>42</v>
      </c>
      <c r="S21" s="34" t="s">
        <v>42</v>
      </c>
      <c r="T21" s="34" t="s">
        <v>45</v>
      </c>
      <c r="U21" s="34" t="s">
        <v>46</v>
      </c>
      <c r="V21" s="34" t="s">
        <v>44</v>
      </c>
      <c r="W21" s="34" t="s">
        <v>42</v>
      </c>
      <c r="X21" s="34" t="s">
        <v>42</v>
      </c>
      <c r="Y21" s="34" t="s">
        <v>42</v>
      </c>
      <c r="Z21" s="34" t="s">
        <v>42</v>
      </c>
      <c r="AA21" s="34" t="s">
        <v>42</v>
      </c>
      <c r="AB21" s="34" t="s">
        <v>46</v>
      </c>
      <c r="AC21" s="34" t="s">
        <v>44</v>
      </c>
      <c r="AD21" s="34" t="s">
        <v>42</v>
      </c>
      <c r="AE21" s="34" t="s">
        <v>42</v>
      </c>
      <c r="AF21" s="34" t="s">
        <v>42</v>
      </c>
      <c r="AG21" s="34" t="s">
        <v>45</v>
      </c>
      <c r="AH21" s="34" t="s">
        <v>42</v>
      </c>
      <c r="AI21" s="34" t="s">
        <v>46</v>
      </c>
      <c r="AJ21" s="34" t="s">
        <v>44</v>
      </c>
      <c r="AK21" s="34" t="s">
        <v>45</v>
      </c>
      <c r="AL21" s="34" t="s">
        <v>42</v>
      </c>
      <c r="AM21" s="34" t="s">
        <v>42</v>
      </c>
      <c r="AN21" s="34" t="s">
        <v>42</v>
      </c>
      <c r="AO21" s="28" t="s">
        <v>46</v>
      </c>
      <c r="AP21" s="9"/>
      <c r="AQ21" s="9"/>
      <c r="AR21" s="8">
        <v>13</v>
      </c>
      <c r="AS21" s="8">
        <v>1013</v>
      </c>
      <c r="AT21" s="12" t="s">
        <v>15</v>
      </c>
      <c r="AU21" s="8" t="str">
        <f t="shared" si="2"/>
        <v>Dec</v>
      </c>
      <c r="AV21" s="11">
        <f t="shared" si="3"/>
        <v>19</v>
      </c>
      <c r="AW21" s="11">
        <f t="shared" si="4"/>
        <v>3</v>
      </c>
      <c r="AX21" s="11">
        <f t="shared" si="5"/>
        <v>5</v>
      </c>
      <c r="AY21" s="11">
        <f t="shared" si="6"/>
        <v>4</v>
      </c>
      <c r="AZ21" s="13">
        <f t="shared" si="7"/>
        <v>31</v>
      </c>
      <c r="BA21" s="13">
        <f>(decrepo[[#This Row],[Days]]-decrepo[[#This Row],[Absent]])</f>
        <v>28</v>
      </c>
      <c r="BB21" s="11">
        <f t="shared" ca="1" si="8"/>
        <v>10976</v>
      </c>
      <c r="BC21" s="13">
        <f ca="1">(decrepo[[#This Row],[Salary]]/decrepo[[#This Row],[Paid Days]])</f>
        <v>392</v>
      </c>
      <c r="BD21" s="13">
        <f ca="1">decrepo[[#This Row],[Salary]]*decrepo[[#This Row],[Absent]]</f>
        <v>32928</v>
      </c>
      <c r="BE21" s="13">
        <f ca="1">decrepo[[#This Row],[Salary]]-decrepo[[#This Row],[Deduction]]</f>
        <v>-21952</v>
      </c>
      <c r="BF21" s="9"/>
      <c r="BG21" s="9"/>
    </row>
    <row r="22" spans="6:59" ht="15" customHeight="1" x14ac:dyDescent="0.25">
      <c r="F22" s="14"/>
      <c r="G22" s="25">
        <v>14</v>
      </c>
      <c r="H22" s="33">
        <v>1014</v>
      </c>
      <c r="I22" s="27" t="s">
        <v>16</v>
      </c>
      <c r="J22" s="25">
        <f t="shared" si="9"/>
        <v>4</v>
      </c>
      <c r="K22" s="34" t="s">
        <v>42</v>
      </c>
      <c r="L22" s="34" t="s">
        <v>42</v>
      </c>
      <c r="M22" s="34" t="s">
        <v>42</v>
      </c>
      <c r="N22" s="34" t="s">
        <v>46</v>
      </c>
      <c r="O22" s="34" t="s">
        <v>44</v>
      </c>
      <c r="P22" s="34" t="s">
        <v>42</v>
      </c>
      <c r="Q22" s="34" t="s">
        <v>42</v>
      </c>
      <c r="R22" s="34" t="s">
        <v>42</v>
      </c>
      <c r="S22" s="34" t="s">
        <v>42</v>
      </c>
      <c r="T22" s="34" t="s">
        <v>42</v>
      </c>
      <c r="U22" s="34" t="s">
        <v>46</v>
      </c>
      <c r="V22" s="34" t="s">
        <v>44</v>
      </c>
      <c r="W22" s="34" t="s">
        <v>42</v>
      </c>
      <c r="X22" s="34" t="s">
        <v>42</v>
      </c>
      <c r="Y22" s="34" t="s">
        <v>42</v>
      </c>
      <c r="Z22" s="34" t="s">
        <v>42</v>
      </c>
      <c r="AA22" s="34" t="s">
        <v>42</v>
      </c>
      <c r="AB22" s="34" t="s">
        <v>46</v>
      </c>
      <c r="AC22" s="34" t="s">
        <v>44</v>
      </c>
      <c r="AD22" s="34" t="s">
        <v>42</v>
      </c>
      <c r="AE22" s="34" t="s">
        <v>42</v>
      </c>
      <c r="AF22" s="34" t="s">
        <v>42</v>
      </c>
      <c r="AG22" s="34" t="s">
        <v>42</v>
      </c>
      <c r="AH22" s="34" t="s">
        <v>42</v>
      </c>
      <c r="AI22" s="34" t="s">
        <v>46</v>
      </c>
      <c r="AJ22" s="34" t="s">
        <v>44</v>
      </c>
      <c r="AK22" s="34" t="s">
        <v>42</v>
      </c>
      <c r="AL22" s="34" t="s">
        <v>42</v>
      </c>
      <c r="AM22" s="34" t="s">
        <v>42</v>
      </c>
      <c r="AN22" s="34" t="s">
        <v>42</v>
      </c>
      <c r="AO22" s="28" t="s">
        <v>46</v>
      </c>
      <c r="AP22" s="9"/>
      <c r="AQ22" s="9"/>
      <c r="AR22" s="8">
        <v>14</v>
      </c>
      <c r="AS22" s="8">
        <v>1014</v>
      </c>
      <c r="AT22" s="12" t="s">
        <v>16</v>
      </c>
      <c r="AU22" s="8" t="str">
        <f t="shared" si="2"/>
        <v>Dec</v>
      </c>
      <c r="AV22" s="11">
        <f t="shared" si="3"/>
        <v>22</v>
      </c>
      <c r="AW22" s="11">
        <f t="shared" si="4"/>
        <v>0</v>
      </c>
      <c r="AX22" s="11">
        <f t="shared" si="5"/>
        <v>5</v>
      </c>
      <c r="AY22" s="11">
        <f t="shared" si="6"/>
        <v>4</v>
      </c>
      <c r="AZ22" s="13">
        <f t="shared" si="7"/>
        <v>31</v>
      </c>
      <c r="BA22" s="13">
        <f>(decrepo[[#This Row],[Days]]-decrepo[[#This Row],[Absent]])</f>
        <v>31</v>
      </c>
      <c r="BB22" s="11">
        <f t="shared" ca="1" si="8"/>
        <v>22956</v>
      </c>
      <c r="BC22" s="13">
        <f ca="1">(decrepo[[#This Row],[Salary]]/decrepo[[#This Row],[Paid Days]])</f>
        <v>740.51612903225805</v>
      </c>
      <c r="BD22" s="13">
        <f ca="1">decrepo[[#This Row],[Salary]]*decrepo[[#This Row],[Absent]]</f>
        <v>0</v>
      </c>
      <c r="BE22" s="13">
        <f ca="1">decrepo[[#This Row],[Salary]]-decrepo[[#This Row],[Deduction]]</f>
        <v>22956</v>
      </c>
      <c r="BF22" s="9"/>
      <c r="BG22" s="9"/>
    </row>
    <row r="23" spans="6:59" ht="15" customHeight="1" x14ac:dyDescent="0.25">
      <c r="F23" s="14"/>
      <c r="G23" s="25">
        <v>15</v>
      </c>
      <c r="H23" s="33">
        <v>1015</v>
      </c>
      <c r="I23" s="27" t="s">
        <v>17</v>
      </c>
      <c r="J23" s="25">
        <f t="shared" si="9"/>
        <v>4</v>
      </c>
      <c r="K23" s="34" t="s">
        <v>42</v>
      </c>
      <c r="L23" s="34" t="s">
        <v>42</v>
      </c>
      <c r="M23" s="34" t="s">
        <v>42</v>
      </c>
      <c r="N23" s="34" t="s">
        <v>46</v>
      </c>
      <c r="O23" s="34" t="s">
        <v>44</v>
      </c>
      <c r="P23" s="34" t="s">
        <v>42</v>
      </c>
      <c r="Q23" s="34" t="s">
        <v>42</v>
      </c>
      <c r="R23" s="34" t="s">
        <v>42</v>
      </c>
      <c r="S23" s="34" t="s">
        <v>42</v>
      </c>
      <c r="T23" s="34" t="s">
        <v>42</v>
      </c>
      <c r="U23" s="34" t="s">
        <v>46</v>
      </c>
      <c r="V23" s="34" t="s">
        <v>44</v>
      </c>
      <c r="W23" s="34" t="s">
        <v>42</v>
      </c>
      <c r="X23" s="34" t="s">
        <v>42</v>
      </c>
      <c r="Y23" s="34" t="s">
        <v>42</v>
      </c>
      <c r="Z23" s="34" t="s">
        <v>42</v>
      </c>
      <c r="AA23" s="34" t="s">
        <v>42</v>
      </c>
      <c r="AB23" s="34" t="s">
        <v>46</v>
      </c>
      <c r="AC23" s="34" t="s">
        <v>44</v>
      </c>
      <c r="AD23" s="34" t="s">
        <v>42</v>
      </c>
      <c r="AE23" s="34" t="s">
        <v>42</v>
      </c>
      <c r="AF23" s="34" t="s">
        <v>42</v>
      </c>
      <c r="AG23" s="34" t="s">
        <v>42</v>
      </c>
      <c r="AH23" s="34" t="s">
        <v>42</v>
      </c>
      <c r="AI23" s="34" t="s">
        <v>46</v>
      </c>
      <c r="AJ23" s="34" t="s">
        <v>44</v>
      </c>
      <c r="AK23" s="34" t="s">
        <v>42</v>
      </c>
      <c r="AL23" s="34" t="s">
        <v>42</v>
      </c>
      <c r="AM23" s="34" t="s">
        <v>42</v>
      </c>
      <c r="AN23" s="34" t="s">
        <v>42</v>
      </c>
      <c r="AO23" s="28" t="s">
        <v>46</v>
      </c>
      <c r="AP23" s="9"/>
      <c r="AQ23" s="9"/>
      <c r="AR23" s="8">
        <v>15</v>
      </c>
      <c r="AS23" s="8">
        <v>1015</v>
      </c>
      <c r="AT23" s="12" t="s">
        <v>17</v>
      </c>
      <c r="AU23" s="8" t="str">
        <f t="shared" si="2"/>
        <v>Dec</v>
      </c>
      <c r="AV23" s="11">
        <f t="shared" si="3"/>
        <v>22</v>
      </c>
      <c r="AW23" s="11">
        <f t="shared" si="4"/>
        <v>0</v>
      </c>
      <c r="AX23" s="11">
        <f t="shared" si="5"/>
        <v>5</v>
      </c>
      <c r="AY23" s="11">
        <f t="shared" si="6"/>
        <v>4</v>
      </c>
      <c r="AZ23" s="13">
        <f t="shared" si="7"/>
        <v>31</v>
      </c>
      <c r="BA23" s="13">
        <f>(decrepo[[#This Row],[Days]]-decrepo[[#This Row],[Absent]])</f>
        <v>31</v>
      </c>
      <c r="BB23" s="11">
        <f t="shared" ca="1" si="8"/>
        <v>16783</v>
      </c>
      <c r="BC23" s="13">
        <f ca="1">(decrepo[[#This Row],[Salary]]/decrepo[[#This Row],[Paid Days]])</f>
        <v>541.38709677419354</v>
      </c>
      <c r="BD23" s="13">
        <f ca="1">decrepo[[#This Row],[Salary]]*decrepo[[#This Row],[Absent]]</f>
        <v>0</v>
      </c>
      <c r="BE23" s="13">
        <f ca="1">decrepo[[#This Row],[Salary]]-decrepo[[#This Row],[Deduction]]</f>
        <v>16783</v>
      </c>
      <c r="BF23" s="9"/>
      <c r="BG23" s="9"/>
    </row>
    <row r="24" spans="6:59" ht="15" customHeight="1" x14ac:dyDescent="0.25">
      <c r="F24" s="14"/>
      <c r="G24" s="25">
        <v>16</v>
      </c>
      <c r="H24" s="33">
        <v>1016</v>
      </c>
      <c r="I24" s="27" t="s">
        <v>18</v>
      </c>
      <c r="J24" s="25">
        <f t="shared" si="9"/>
        <v>4</v>
      </c>
      <c r="K24" s="34" t="s">
        <v>45</v>
      </c>
      <c r="L24" s="34" t="s">
        <v>42</v>
      </c>
      <c r="M24" s="34" t="s">
        <v>42</v>
      </c>
      <c r="N24" s="34" t="s">
        <v>46</v>
      </c>
      <c r="O24" s="34" t="s">
        <v>44</v>
      </c>
      <c r="P24" s="34" t="s">
        <v>42</v>
      </c>
      <c r="Q24" s="34" t="s">
        <v>42</v>
      </c>
      <c r="R24" s="34" t="s">
        <v>42</v>
      </c>
      <c r="S24" s="34" t="s">
        <v>42</v>
      </c>
      <c r="T24" s="34" t="s">
        <v>42</v>
      </c>
      <c r="U24" s="34" t="s">
        <v>46</v>
      </c>
      <c r="V24" s="34" t="s">
        <v>44</v>
      </c>
      <c r="W24" s="34" t="s">
        <v>42</v>
      </c>
      <c r="X24" s="34" t="s">
        <v>42</v>
      </c>
      <c r="Y24" s="34" t="s">
        <v>45</v>
      </c>
      <c r="Z24" s="34" t="s">
        <v>42</v>
      </c>
      <c r="AA24" s="34" t="s">
        <v>42</v>
      </c>
      <c r="AB24" s="34" t="s">
        <v>46</v>
      </c>
      <c r="AC24" s="34" t="s">
        <v>44</v>
      </c>
      <c r="AD24" s="34" t="s">
        <v>42</v>
      </c>
      <c r="AE24" s="34" t="s">
        <v>42</v>
      </c>
      <c r="AF24" s="34" t="s">
        <v>42</v>
      </c>
      <c r="AG24" s="34" t="s">
        <v>42</v>
      </c>
      <c r="AH24" s="34" t="s">
        <v>42</v>
      </c>
      <c r="AI24" s="34" t="s">
        <v>46</v>
      </c>
      <c r="AJ24" s="34" t="s">
        <v>44</v>
      </c>
      <c r="AK24" s="34" t="s">
        <v>42</v>
      </c>
      <c r="AL24" s="34" t="s">
        <v>45</v>
      </c>
      <c r="AM24" s="34" t="s">
        <v>42</v>
      </c>
      <c r="AN24" s="34" t="s">
        <v>42</v>
      </c>
      <c r="AO24" s="28" t="s">
        <v>46</v>
      </c>
      <c r="AP24" s="9"/>
      <c r="AQ24" s="9"/>
      <c r="AR24" s="8">
        <v>16</v>
      </c>
      <c r="AS24" s="8">
        <v>1016</v>
      </c>
      <c r="AT24" s="12" t="s">
        <v>18</v>
      </c>
      <c r="AU24" s="8" t="str">
        <f t="shared" si="2"/>
        <v>Dec</v>
      </c>
      <c r="AV24" s="11">
        <f t="shared" si="3"/>
        <v>19</v>
      </c>
      <c r="AW24" s="11">
        <f t="shared" si="4"/>
        <v>3</v>
      </c>
      <c r="AX24" s="11">
        <f t="shared" si="5"/>
        <v>5</v>
      </c>
      <c r="AY24" s="11">
        <f t="shared" si="6"/>
        <v>4</v>
      </c>
      <c r="AZ24" s="13">
        <f t="shared" si="7"/>
        <v>31</v>
      </c>
      <c r="BA24" s="13">
        <f>(decrepo[[#This Row],[Days]]-decrepo[[#This Row],[Absent]])</f>
        <v>28</v>
      </c>
      <c r="BB24" s="11">
        <f t="shared" ca="1" si="8"/>
        <v>23525</v>
      </c>
      <c r="BC24" s="13">
        <f ca="1">(decrepo[[#This Row],[Salary]]/decrepo[[#This Row],[Paid Days]])</f>
        <v>840.17857142857144</v>
      </c>
      <c r="BD24" s="13">
        <f ca="1">decrepo[[#This Row],[Salary]]*decrepo[[#This Row],[Absent]]</f>
        <v>70575</v>
      </c>
      <c r="BE24" s="13">
        <f ca="1">decrepo[[#This Row],[Salary]]-decrepo[[#This Row],[Deduction]]</f>
        <v>-47050</v>
      </c>
      <c r="BF24" s="9"/>
      <c r="BG24" s="9"/>
    </row>
    <row r="25" spans="6:59" ht="15" customHeight="1" x14ac:dyDescent="0.25">
      <c r="F25" s="14"/>
      <c r="G25" s="25">
        <v>17</v>
      </c>
      <c r="H25" s="33">
        <v>1017</v>
      </c>
      <c r="I25" s="27" t="s">
        <v>19</v>
      </c>
      <c r="J25" s="25">
        <f t="shared" si="9"/>
        <v>4</v>
      </c>
      <c r="K25" s="34" t="s">
        <v>42</v>
      </c>
      <c r="L25" s="34" t="s">
        <v>42</v>
      </c>
      <c r="M25" s="34" t="s">
        <v>42</v>
      </c>
      <c r="N25" s="34" t="s">
        <v>46</v>
      </c>
      <c r="O25" s="34" t="s">
        <v>44</v>
      </c>
      <c r="P25" s="34" t="s">
        <v>45</v>
      </c>
      <c r="Q25" s="34" t="s">
        <v>42</v>
      </c>
      <c r="R25" s="34" t="s">
        <v>42</v>
      </c>
      <c r="S25" s="34" t="s">
        <v>42</v>
      </c>
      <c r="T25" s="34" t="s">
        <v>42</v>
      </c>
      <c r="U25" s="34" t="s">
        <v>46</v>
      </c>
      <c r="V25" s="34" t="s">
        <v>44</v>
      </c>
      <c r="W25" s="34" t="s">
        <v>42</v>
      </c>
      <c r="X25" s="34" t="s">
        <v>42</v>
      </c>
      <c r="Y25" s="34" t="s">
        <v>42</v>
      </c>
      <c r="Z25" s="34" t="s">
        <v>42</v>
      </c>
      <c r="AA25" s="34" t="s">
        <v>42</v>
      </c>
      <c r="AB25" s="34" t="s">
        <v>46</v>
      </c>
      <c r="AC25" s="34" t="s">
        <v>44</v>
      </c>
      <c r="AD25" s="34" t="s">
        <v>42</v>
      </c>
      <c r="AE25" s="34" t="s">
        <v>42</v>
      </c>
      <c r="AF25" s="34" t="s">
        <v>42</v>
      </c>
      <c r="AG25" s="34" t="s">
        <v>42</v>
      </c>
      <c r="AH25" s="34" t="s">
        <v>42</v>
      </c>
      <c r="AI25" s="34" t="s">
        <v>46</v>
      </c>
      <c r="AJ25" s="34" t="s">
        <v>44</v>
      </c>
      <c r="AK25" s="34" t="s">
        <v>42</v>
      </c>
      <c r="AL25" s="34" t="s">
        <v>42</v>
      </c>
      <c r="AM25" s="34" t="s">
        <v>42</v>
      </c>
      <c r="AN25" s="34" t="s">
        <v>42</v>
      </c>
      <c r="AO25" s="28" t="s">
        <v>46</v>
      </c>
      <c r="AP25" s="9"/>
      <c r="AQ25" s="9"/>
      <c r="AR25" s="8">
        <v>17</v>
      </c>
      <c r="AS25" s="8">
        <v>1017</v>
      </c>
      <c r="AT25" s="12" t="s">
        <v>19</v>
      </c>
      <c r="AU25" s="8" t="str">
        <f t="shared" si="2"/>
        <v>Dec</v>
      </c>
      <c r="AV25" s="11">
        <f t="shared" si="3"/>
        <v>21</v>
      </c>
      <c r="AW25" s="11">
        <f t="shared" si="4"/>
        <v>1</v>
      </c>
      <c r="AX25" s="11">
        <f t="shared" si="5"/>
        <v>5</v>
      </c>
      <c r="AY25" s="11">
        <f t="shared" si="6"/>
        <v>4</v>
      </c>
      <c r="AZ25" s="13">
        <f t="shared" si="7"/>
        <v>31</v>
      </c>
      <c r="BA25" s="13">
        <f>(decrepo[[#This Row],[Days]]-decrepo[[#This Row],[Absent]])</f>
        <v>30</v>
      </c>
      <c r="BB25" s="11">
        <f t="shared" ca="1" si="8"/>
        <v>19255</v>
      </c>
      <c r="BC25" s="13">
        <f ca="1">(decrepo[[#This Row],[Salary]]/decrepo[[#This Row],[Paid Days]])</f>
        <v>641.83333333333337</v>
      </c>
      <c r="BD25" s="13">
        <f ca="1">decrepo[[#This Row],[Salary]]*decrepo[[#This Row],[Absent]]</f>
        <v>19255</v>
      </c>
      <c r="BE25" s="13">
        <f ca="1">decrepo[[#This Row],[Salary]]-decrepo[[#This Row],[Deduction]]</f>
        <v>0</v>
      </c>
      <c r="BF25" s="9"/>
      <c r="BG25" s="9"/>
    </row>
    <row r="26" spans="6:59" ht="15" customHeight="1" x14ac:dyDescent="0.25">
      <c r="F26" s="14"/>
      <c r="G26" s="25">
        <v>18</v>
      </c>
      <c r="H26" s="33">
        <v>1018</v>
      </c>
      <c r="I26" s="27" t="s">
        <v>20</v>
      </c>
      <c r="J26" s="25">
        <f t="shared" si="9"/>
        <v>4</v>
      </c>
      <c r="K26" s="34" t="s">
        <v>42</v>
      </c>
      <c r="L26" s="34" t="s">
        <v>45</v>
      </c>
      <c r="M26" s="34" t="s">
        <v>42</v>
      </c>
      <c r="N26" s="34" t="s">
        <v>46</v>
      </c>
      <c r="O26" s="34" t="s">
        <v>44</v>
      </c>
      <c r="P26" s="34" t="s">
        <v>42</v>
      </c>
      <c r="Q26" s="34" t="s">
        <v>42</v>
      </c>
      <c r="R26" s="34" t="s">
        <v>42</v>
      </c>
      <c r="S26" s="34" t="s">
        <v>42</v>
      </c>
      <c r="T26" s="34" t="s">
        <v>42</v>
      </c>
      <c r="U26" s="34" t="s">
        <v>46</v>
      </c>
      <c r="V26" s="34" t="s">
        <v>44</v>
      </c>
      <c r="W26" s="34" t="s">
        <v>45</v>
      </c>
      <c r="X26" s="34" t="s">
        <v>42</v>
      </c>
      <c r="Y26" s="34" t="s">
        <v>42</v>
      </c>
      <c r="Z26" s="34" t="s">
        <v>42</v>
      </c>
      <c r="AA26" s="34" t="s">
        <v>42</v>
      </c>
      <c r="AB26" s="34" t="s">
        <v>46</v>
      </c>
      <c r="AC26" s="34" t="s">
        <v>44</v>
      </c>
      <c r="AD26" s="34" t="s">
        <v>42</v>
      </c>
      <c r="AE26" s="34" t="s">
        <v>42</v>
      </c>
      <c r="AF26" s="34" t="s">
        <v>42</v>
      </c>
      <c r="AG26" s="34" t="s">
        <v>42</v>
      </c>
      <c r="AH26" s="34" t="s">
        <v>42</v>
      </c>
      <c r="AI26" s="34" t="s">
        <v>46</v>
      </c>
      <c r="AJ26" s="34" t="s">
        <v>44</v>
      </c>
      <c r="AK26" s="34" t="s">
        <v>42</v>
      </c>
      <c r="AL26" s="34" t="s">
        <v>42</v>
      </c>
      <c r="AM26" s="34" t="s">
        <v>42</v>
      </c>
      <c r="AN26" s="34" t="s">
        <v>45</v>
      </c>
      <c r="AO26" s="28" t="s">
        <v>46</v>
      </c>
      <c r="AP26" s="9"/>
      <c r="AQ26" s="9"/>
      <c r="AR26" s="8">
        <v>18</v>
      </c>
      <c r="AS26" s="8">
        <v>1018</v>
      </c>
      <c r="AT26" s="12" t="s">
        <v>20</v>
      </c>
      <c r="AU26" s="8" t="str">
        <f t="shared" si="2"/>
        <v>Dec</v>
      </c>
      <c r="AV26" s="11">
        <f t="shared" si="3"/>
        <v>19</v>
      </c>
      <c r="AW26" s="11">
        <f t="shared" si="4"/>
        <v>3</v>
      </c>
      <c r="AX26" s="11">
        <f t="shared" si="5"/>
        <v>5</v>
      </c>
      <c r="AY26" s="11">
        <f t="shared" si="6"/>
        <v>4</v>
      </c>
      <c r="AZ26" s="13">
        <f t="shared" si="7"/>
        <v>31</v>
      </c>
      <c r="BA26" s="13">
        <f>(decrepo[[#This Row],[Days]]-decrepo[[#This Row],[Absent]])</f>
        <v>28</v>
      </c>
      <c r="BB26" s="11">
        <f t="shared" ca="1" si="8"/>
        <v>17342</v>
      </c>
      <c r="BC26" s="13">
        <f ca="1">(decrepo[[#This Row],[Salary]]/decrepo[[#This Row],[Paid Days]])</f>
        <v>619.35714285714289</v>
      </c>
      <c r="BD26" s="13">
        <f ca="1">decrepo[[#This Row],[Salary]]*decrepo[[#This Row],[Absent]]</f>
        <v>52026</v>
      </c>
      <c r="BE26" s="13">
        <f ca="1">decrepo[[#This Row],[Salary]]-decrepo[[#This Row],[Deduction]]</f>
        <v>-34684</v>
      </c>
      <c r="BF26" s="9"/>
      <c r="BG26" s="9"/>
    </row>
    <row r="27" spans="6:59" ht="15" customHeight="1" x14ac:dyDescent="0.25">
      <c r="F27" s="14"/>
      <c r="G27" s="25">
        <v>19</v>
      </c>
      <c r="H27" s="33">
        <v>1019</v>
      </c>
      <c r="I27" s="27" t="s">
        <v>21</v>
      </c>
      <c r="J27" s="25">
        <f t="shared" si="9"/>
        <v>4</v>
      </c>
      <c r="K27" s="34" t="s">
        <v>42</v>
      </c>
      <c r="L27" s="34" t="s">
        <v>42</v>
      </c>
      <c r="M27" s="34" t="s">
        <v>42</v>
      </c>
      <c r="N27" s="34" t="s">
        <v>46</v>
      </c>
      <c r="O27" s="34" t="s">
        <v>44</v>
      </c>
      <c r="P27" s="34" t="s">
        <v>42</v>
      </c>
      <c r="Q27" s="34" t="s">
        <v>42</v>
      </c>
      <c r="R27" s="34" t="s">
        <v>42</v>
      </c>
      <c r="S27" s="34" t="s">
        <v>45</v>
      </c>
      <c r="T27" s="34" t="s">
        <v>42</v>
      </c>
      <c r="U27" s="34" t="s">
        <v>46</v>
      </c>
      <c r="V27" s="34" t="s">
        <v>44</v>
      </c>
      <c r="W27" s="34" t="s">
        <v>42</v>
      </c>
      <c r="X27" s="34" t="s">
        <v>42</v>
      </c>
      <c r="Y27" s="34" t="s">
        <v>42</v>
      </c>
      <c r="Z27" s="34" t="s">
        <v>42</v>
      </c>
      <c r="AA27" s="34" t="s">
        <v>42</v>
      </c>
      <c r="AB27" s="34" t="s">
        <v>46</v>
      </c>
      <c r="AC27" s="34" t="s">
        <v>44</v>
      </c>
      <c r="AD27" s="34" t="s">
        <v>42</v>
      </c>
      <c r="AE27" s="34" t="s">
        <v>45</v>
      </c>
      <c r="AF27" s="34" t="s">
        <v>42</v>
      </c>
      <c r="AG27" s="34" t="s">
        <v>45</v>
      </c>
      <c r="AH27" s="34" t="s">
        <v>42</v>
      </c>
      <c r="AI27" s="34" t="s">
        <v>46</v>
      </c>
      <c r="AJ27" s="34" t="s">
        <v>44</v>
      </c>
      <c r="AK27" s="34" t="s">
        <v>42</v>
      </c>
      <c r="AL27" s="34" t="s">
        <v>42</v>
      </c>
      <c r="AM27" s="34" t="s">
        <v>42</v>
      </c>
      <c r="AN27" s="34" t="s">
        <v>42</v>
      </c>
      <c r="AO27" s="28" t="s">
        <v>46</v>
      </c>
      <c r="AP27" s="9"/>
      <c r="AQ27" s="9"/>
      <c r="AR27" s="8">
        <v>19</v>
      </c>
      <c r="AS27" s="8">
        <v>1019</v>
      </c>
      <c r="AT27" s="12" t="s">
        <v>21</v>
      </c>
      <c r="AU27" s="8" t="str">
        <f t="shared" si="2"/>
        <v>Dec</v>
      </c>
      <c r="AV27" s="11">
        <f t="shared" si="3"/>
        <v>19</v>
      </c>
      <c r="AW27" s="11">
        <f t="shared" si="4"/>
        <v>3</v>
      </c>
      <c r="AX27" s="11">
        <f t="shared" si="5"/>
        <v>5</v>
      </c>
      <c r="AY27" s="11">
        <f t="shared" si="6"/>
        <v>4</v>
      </c>
      <c r="AZ27" s="13">
        <f t="shared" si="7"/>
        <v>31</v>
      </c>
      <c r="BA27" s="13">
        <f>(decrepo[[#This Row],[Days]]-decrepo[[#This Row],[Absent]])</f>
        <v>28</v>
      </c>
      <c r="BB27" s="11">
        <f t="shared" ca="1" si="8"/>
        <v>19620</v>
      </c>
      <c r="BC27" s="13">
        <f ca="1">(decrepo[[#This Row],[Salary]]/decrepo[[#This Row],[Paid Days]])</f>
        <v>700.71428571428567</v>
      </c>
      <c r="BD27" s="13">
        <f ca="1">decrepo[[#This Row],[Salary]]*decrepo[[#This Row],[Absent]]</f>
        <v>58860</v>
      </c>
      <c r="BE27" s="13">
        <f ca="1">decrepo[[#This Row],[Salary]]-decrepo[[#This Row],[Deduction]]</f>
        <v>-39240</v>
      </c>
      <c r="BF27" s="9"/>
      <c r="BG27" s="9"/>
    </row>
    <row r="28" spans="6:59" ht="15" customHeight="1" thickBot="1" x14ac:dyDescent="0.3">
      <c r="F28" s="14"/>
      <c r="G28" s="26">
        <v>20</v>
      </c>
      <c r="H28" s="29">
        <v>1020</v>
      </c>
      <c r="I28" s="30" t="s">
        <v>22</v>
      </c>
      <c r="J28" s="26">
        <f t="shared" si="9"/>
        <v>4</v>
      </c>
      <c r="K28" s="31" t="s">
        <v>42</v>
      </c>
      <c r="L28" s="31" t="s">
        <v>42</v>
      </c>
      <c r="M28" s="31" t="s">
        <v>42</v>
      </c>
      <c r="N28" s="31" t="s">
        <v>46</v>
      </c>
      <c r="O28" s="31" t="s">
        <v>44</v>
      </c>
      <c r="P28" s="31" t="s">
        <v>42</v>
      </c>
      <c r="Q28" s="31" t="s">
        <v>42</v>
      </c>
      <c r="R28" s="31" t="s">
        <v>42</v>
      </c>
      <c r="S28" s="31" t="s">
        <v>42</v>
      </c>
      <c r="T28" s="31" t="s">
        <v>42</v>
      </c>
      <c r="U28" s="31" t="s">
        <v>46</v>
      </c>
      <c r="V28" s="31" t="s">
        <v>44</v>
      </c>
      <c r="W28" s="31" t="s">
        <v>42</v>
      </c>
      <c r="X28" s="34" t="s">
        <v>45</v>
      </c>
      <c r="Y28" s="31" t="s">
        <v>42</v>
      </c>
      <c r="Z28" s="31" t="s">
        <v>42</v>
      </c>
      <c r="AA28" s="31" t="s">
        <v>42</v>
      </c>
      <c r="AB28" s="31" t="s">
        <v>46</v>
      </c>
      <c r="AC28" s="31" t="s">
        <v>44</v>
      </c>
      <c r="AD28" s="31" t="s">
        <v>42</v>
      </c>
      <c r="AE28" s="31" t="s">
        <v>42</v>
      </c>
      <c r="AF28" s="31" t="s">
        <v>42</v>
      </c>
      <c r="AG28" s="31" t="s">
        <v>42</v>
      </c>
      <c r="AH28" s="31" t="s">
        <v>42</v>
      </c>
      <c r="AI28" s="31" t="s">
        <v>46</v>
      </c>
      <c r="AJ28" s="31" t="s">
        <v>44</v>
      </c>
      <c r="AK28" s="31" t="s">
        <v>42</v>
      </c>
      <c r="AL28" s="31" t="s">
        <v>42</v>
      </c>
      <c r="AM28" s="31" t="s">
        <v>42</v>
      </c>
      <c r="AN28" s="31" t="s">
        <v>42</v>
      </c>
      <c r="AO28" s="32" t="s">
        <v>46</v>
      </c>
      <c r="AP28" s="9"/>
      <c r="AQ28" s="9"/>
      <c r="AR28" s="8">
        <v>20</v>
      </c>
      <c r="AS28" s="8">
        <v>1020</v>
      </c>
      <c r="AT28" s="12" t="s">
        <v>22</v>
      </c>
      <c r="AU28" s="8" t="str">
        <f t="shared" si="2"/>
        <v>Dec</v>
      </c>
      <c r="AV28" s="11">
        <f t="shared" si="3"/>
        <v>21</v>
      </c>
      <c r="AW28" s="11">
        <f t="shared" si="4"/>
        <v>1</v>
      </c>
      <c r="AX28" s="11">
        <f t="shared" si="5"/>
        <v>5</v>
      </c>
      <c r="AY28" s="11">
        <f t="shared" si="6"/>
        <v>4</v>
      </c>
      <c r="AZ28" s="13">
        <f t="shared" si="7"/>
        <v>31</v>
      </c>
      <c r="BA28" s="13">
        <f>(decrepo[[#This Row],[Days]]-decrepo[[#This Row],[Absent]])</f>
        <v>30</v>
      </c>
      <c r="BB28" s="11">
        <f t="shared" ca="1" si="8"/>
        <v>20599</v>
      </c>
      <c r="BC28" s="13">
        <f ca="1">(decrepo[[#This Row],[Salary]]/decrepo[[#This Row],[Paid Days]])</f>
        <v>686.63333333333333</v>
      </c>
      <c r="BD28" s="13">
        <f ca="1">decrepo[[#This Row],[Salary]]*decrepo[[#This Row],[Absent]]</f>
        <v>20599</v>
      </c>
      <c r="BE28" s="13">
        <f ca="1">decrepo[[#This Row],[Salary]]-decrepo[[#This Row],[Deduction]]</f>
        <v>0</v>
      </c>
      <c r="BF28" s="9"/>
      <c r="BG28" s="9"/>
    </row>
    <row r="29" spans="6:59" ht="15" customHeight="1" x14ac:dyDescent="0.25"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6:59" ht="15" customHeight="1" x14ac:dyDescent="0.25"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6:59" ht="15" customHeight="1" x14ac:dyDescent="0.25"/>
    <row r="32" spans="6:5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mergeCells count="1">
    <mergeCell ref="G7:I7"/>
  </mergeCells>
  <conditionalFormatting sqref="K7:AO8 O10:O28 V10:V28 AC10:AC28 AJ10:AJ28">
    <cfRule type="containsText" dxfId="7" priority="28" operator="containsText" text="WO">
      <formula>NOT(ISERROR(SEARCH("WO",K7)))</formula>
    </cfRule>
  </conditionalFormatting>
  <conditionalFormatting sqref="K8:AO8 O10:O28 V10:V28 AC10:AC28 AJ10:AJ28">
    <cfRule type="containsText" dxfId="6" priority="26" operator="containsText" text="A">
      <formula>NOT(ISERROR(SEARCH("A",K8)))</formula>
    </cfRule>
    <cfRule type="containsText" dxfId="5" priority="27" operator="containsText" text="P">
      <formula>NOT(ISERROR(SEARCH("P",K8)))</formula>
    </cfRule>
  </conditionalFormatting>
  <conditionalFormatting sqref="K9:AO28">
    <cfRule type="containsText" dxfId="4" priority="1" operator="containsText" text="A">
      <formula>NOT(ISERROR(SEARCH("A",K9)))</formula>
    </cfRule>
    <cfRule type="containsText" dxfId="3" priority="2" operator="containsText" text="P">
      <formula>NOT(ISERROR(SEARCH("P",K9)))</formula>
    </cfRule>
    <cfRule type="containsText" dxfId="2" priority="3" operator="containsText" text="WO">
      <formula>NOT(ISERROR(SEARCH("WO",K9)))</formula>
    </cfRule>
  </conditionalFormatting>
  <conditionalFormatting sqref="O10:O28 V10:V28 AC10:AC28 AJ10:AJ28 K8:AO8">
    <cfRule type="containsText" dxfId="1" priority="25" operator="containsText" text="L">
      <formula>NOT(ISERROR(SEARCH("L",K8)))</formula>
    </cfRule>
  </conditionalFormatting>
  <conditionalFormatting sqref="AP9">
    <cfRule type="containsText" dxfId="0" priority="24" operator="containsText" text="WO">
      <formula>NOT(ISERROR(SEARCH("WO",AP9)))</formula>
    </cfRule>
  </conditionalFormatting>
  <dataValidations count="1">
    <dataValidation type="list" allowBlank="1" showInputMessage="1" showErrorMessage="1" sqref="K9:AO28" xr:uid="{26CFEC78-85B3-462F-B637-5E7FB8466093}">
      <formula1>"P,A,L,WO"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76F790-0387-4155-8EF4-0461EE9BB610}">
          <x14:formula1>
            <xm:f>Sheet3!$A$1:$A$12</xm:f>
          </x14:formula1>
          <xm:sqref>H4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FB6A742ACA38A48B97B47C4E096006B" ma:contentTypeVersion="4" ma:contentTypeDescription="新建文档。" ma:contentTypeScope="" ma:versionID="de8ef5304f08c65a54355e7f5ea61fbe">
  <xsd:schema xmlns:xsd="http://www.w3.org/2001/XMLSchema" xmlns:xs="http://www.w3.org/2001/XMLSchema" xmlns:p="http://schemas.microsoft.com/office/2006/metadata/properties" xmlns:ns3="25bb5040-11c3-48c1-87e6-f5adbf01df05" targetNamespace="http://schemas.microsoft.com/office/2006/metadata/properties" ma:root="true" ma:fieldsID="fb63b6a62008c1796178414d9872ac4b" ns3:_="">
    <xsd:import namespace="25bb5040-11c3-48c1-87e6-f5adbf01df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b5040-11c3-48c1-87e6-f5adbf01df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7DCDA5-265A-41C5-99D1-520B6F7A3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b5040-11c3-48c1-87e6-f5adbf01d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B12301-8439-43F8-8C1D-A309CE2614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79A9B6-9B9D-44E8-89A8-1686DB6D6191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25bb5040-11c3-48c1-87e6-f5adbf01df05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Sheet3</vt:lpstr>
      <vt:lpstr>Jan</vt:lpstr>
      <vt:lpstr>Feb</vt:lpstr>
      <vt:lpstr>Mar</vt:lpstr>
      <vt:lpstr>Apr</vt:lpstr>
      <vt:lpstr>May</vt:lpstr>
      <vt:lpstr>Jun</vt:lpstr>
      <vt:lpstr>July</vt:lpstr>
      <vt:lpstr>Aug</vt:lpstr>
      <vt:lpstr>Sep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2025-10-30T15:43:32Z</dcterms:created>
  <dcterms:modified xsi:type="dcterms:W3CDTF">2025-10-31T14:32:05Z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0x010100BFB6A742ACA38A48B97B47C4E096006B</vt:lpwstr>
  </property>
</Properties>
</file>