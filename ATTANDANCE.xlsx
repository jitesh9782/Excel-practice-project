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B3C82FD-A415-456B-85B8-EF1D7FCBC8DC}" xr6:coauthVersionLast="47" xr6:coauthVersionMax="47" xr10:uidLastSave="{00000000-0000-0000-0000-000000000000}"/>
  <bookViews>
    <workbookView xWindow="-120" yWindow="-120" windowWidth="20730" windowHeight="11160" xr2:uid="{F47DF3D2-EF85-4439-82A9-FD5205E01B4A}"/>
  </bookViews>
  <sheets>
    <sheet name="JANUARY" sheetId="1" r:id="rId1"/>
    <sheet name="FEBRUARY" sheetId="14" r:id="rId2"/>
    <sheet name="MARCH" sheetId="15" r:id="rId3"/>
    <sheet name="APRIL" sheetId="16" r:id="rId4"/>
    <sheet name="MAY" sheetId="17" r:id="rId5"/>
    <sheet name="JUNE" sheetId="18" r:id="rId6"/>
    <sheet name="JULY" sheetId="19" r:id="rId7"/>
    <sheet name="AUGUST" sheetId="20" r:id="rId8"/>
    <sheet name="SEPTEMBER" sheetId="21" r:id="rId9"/>
    <sheet name="OCTOBER" sheetId="22" r:id="rId10"/>
    <sheet name="NOVEMBER" sheetId="23" r:id="rId11"/>
    <sheet name="DECEMBER" sheetId="24" r:id="rId12"/>
    <sheet name="ROUGH" sheetId="13" r:id="rId13"/>
    <sheet name="Sheet1" sheetId="2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" i="1" l="1"/>
  <c r="M7" i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O4" i="1"/>
  <c r="K4" i="1" s="1"/>
  <c r="AZ26" i="1" s="1"/>
  <c r="BC26" i="1" s="1"/>
  <c r="BD26" i="1" s="1"/>
  <c r="AM7" i="14"/>
  <c r="AN7" i="14" s="1"/>
  <c r="AO7" i="14" s="1"/>
  <c r="AT8" i="24"/>
  <c r="AT9" i="24"/>
  <c r="AT10" i="24"/>
  <c r="AT11" i="24"/>
  <c r="AT12" i="24"/>
  <c r="AT13" i="24"/>
  <c r="AT14" i="24"/>
  <c r="AT15" i="24"/>
  <c r="AT16" i="24"/>
  <c r="AT17" i="24"/>
  <c r="AT18" i="24"/>
  <c r="AT19" i="24"/>
  <c r="AT20" i="24"/>
  <c r="AT21" i="24"/>
  <c r="AT22" i="24"/>
  <c r="AT23" i="24"/>
  <c r="AT24" i="24"/>
  <c r="AT25" i="24"/>
  <c r="AT26" i="24"/>
  <c r="AT27" i="24"/>
  <c r="AT8" i="23"/>
  <c r="AT9" i="23"/>
  <c r="AT10" i="23"/>
  <c r="AT11" i="23"/>
  <c r="AT12" i="23"/>
  <c r="AT13" i="23"/>
  <c r="AT14" i="23"/>
  <c r="AT15" i="23"/>
  <c r="AT16" i="23"/>
  <c r="AT17" i="23"/>
  <c r="AT18" i="23"/>
  <c r="AT19" i="23"/>
  <c r="AT20" i="23"/>
  <c r="AT21" i="23"/>
  <c r="AT22" i="23"/>
  <c r="AT23" i="23"/>
  <c r="AT24" i="23"/>
  <c r="AT25" i="23"/>
  <c r="AT26" i="23"/>
  <c r="AT27" i="23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8" i="21"/>
  <c r="AT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8" i="20"/>
  <c r="AT9" i="20"/>
  <c r="AT10" i="20"/>
  <c r="AT11" i="20"/>
  <c r="AT12" i="20"/>
  <c r="AT13" i="20"/>
  <c r="AT14" i="20"/>
  <c r="AT15" i="20"/>
  <c r="AT16" i="20"/>
  <c r="AT17" i="20"/>
  <c r="AT18" i="20"/>
  <c r="AT19" i="20"/>
  <c r="AT20" i="20"/>
  <c r="AT21" i="20"/>
  <c r="AT22" i="20"/>
  <c r="AT23" i="20"/>
  <c r="AT24" i="20"/>
  <c r="AT25" i="20"/>
  <c r="AT26" i="20"/>
  <c r="AT27" i="20"/>
  <c r="AT8" i="19"/>
  <c r="AT9" i="19"/>
  <c r="AT10" i="19"/>
  <c r="AT11" i="19"/>
  <c r="AT12" i="19"/>
  <c r="AT13" i="19"/>
  <c r="AT14" i="19"/>
  <c r="AT15" i="19"/>
  <c r="AT16" i="19"/>
  <c r="AT17" i="19"/>
  <c r="AT18" i="19"/>
  <c r="AT19" i="19"/>
  <c r="AT20" i="19"/>
  <c r="AT21" i="19"/>
  <c r="AT22" i="19"/>
  <c r="AT23" i="19"/>
  <c r="AT24" i="19"/>
  <c r="AT25" i="19"/>
  <c r="AT26" i="19"/>
  <c r="AT27" i="19"/>
  <c r="AT8" i="18"/>
  <c r="AT9" i="18"/>
  <c r="AT10" i="18"/>
  <c r="AT11" i="18"/>
  <c r="AT12" i="18"/>
  <c r="AT13" i="18"/>
  <c r="AT14" i="18"/>
  <c r="AT15" i="18"/>
  <c r="AT16" i="18"/>
  <c r="AT17" i="18"/>
  <c r="AT18" i="18"/>
  <c r="AT19" i="18"/>
  <c r="AT20" i="18"/>
  <c r="AT21" i="18"/>
  <c r="AT22" i="18"/>
  <c r="AT23" i="18"/>
  <c r="AT24" i="18"/>
  <c r="AT25" i="18"/>
  <c r="AT26" i="18"/>
  <c r="AT27" i="18"/>
  <c r="AT8" i="17"/>
  <c r="AT9" i="17"/>
  <c r="AT10" i="17"/>
  <c r="AT11" i="17"/>
  <c r="AT12" i="17"/>
  <c r="AT13" i="17"/>
  <c r="AT14" i="17"/>
  <c r="AT15" i="17"/>
  <c r="AT16" i="17"/>
  <c r="AT17" i="17"/>
  <c r="AT18" i="17"/>
  <c r="AT19" i="17"/>
  <c r="AT20" i="17"/>
  <c r="AT21" i="17"/>
  <c r="AT22" i="17"/>
  <c r="AT23" i="17"/>
  <c r="AT24" i="17"/>
  <c r="AT25" i="17"/>
  <c r="AT26" i="17"/>
  <c r="AT27" i="17"/>
  <c r="AT8" i="16"/>
  <c r="AT9" i="16"/>
  <c r="AT10" i="16"/>
  <c r="AT11" i="16"/>
  <c r="AT12" i="16"/>
  <c r="AT13" i="16"/>
  <c r="AT14" i="16"/>
  <c r="AT15" i="16"/>
  <c r="AT16" i="16"/>
  <c r="AT17" i="16"/>
  <c r="AT18" i="16"/>
  <c r="AT19" i="16"/>
  <c r="AT20" i="16"/>
  <c r="AT21" i="16"/>
  <c r="AT22" i="16"/>
  <c r="AT23" i="16"/>
  <c r="AT24" i="16"/>
  <c r="AT25" i="16"/>
  <c r="AT26" i="16"/>
  <c r="AT27" i="16"/>
  <c r="AT8" i="15"/>
  <c r="AT9" i="15"/>
  <c r="AT10" i="15"/>
  <c r="AT11" i="15"/>
  <c r="AT12" i="15"/>
  <c r="AT13" i="15"/>
  <c r="AT14" i="15"/>
  <c r="AT15" i="15"/>
  <c r="AT16" i="15"/>
  <c r="AT17" i="15"/>
  <c r="AT18" i="15"/>
  <c r="AT19" i="15"/>
  <c r="AT20" i="15"/>
  <c r="AT21" i="15"/>
  <c r="AT22" i="15"/>
  <c r="AT23" i="15"/>
  <c r="AT24" i="15"/>
  <c r="AT25" i="15"/>
  <c r="AT26" i="15"/>
  <c r="AT27" i="15"/>
  <c r="AT8" i="14"/>
  <c r="AT9" i="14"/>
  <c r="AT10" i="14"/>
  <c r="AT11" i="14"/>
  <c r="AT12" i="14"/>
  <c r="AT13" i="14"/>
  <c r="AT14" i="14"/>
  <c r="AT15" i="14"/>
  <c r="AT16" i="14"/>
  <c r="AT17" i="14"/>
  <c r="AT18" i="14"/>
  <c r="AT19" i="14"/>
  <c r="AT20" i="14"/>
  <c r="AT21" i="14"/>
  <c r="AT22" i="14"/>
  <c r="AT23" i="14"/>
  <c r="AT24" i="14"/>
  <c r="AT25" i="14"/>
  <c r="AT26" i="14"/>
  <c r="AT27" i="14"/>
  <c r="K6" i="24"/>
  <c r="O4" i="24"/>
  <c r="L7" i="24" s="1"/>
  <c r="M7" i="24" s="1"/>
  <c r="N7" i="24" s="1"/>
  <c r="N6" i="24" s="1"/>
  <c r="L4" i="24"/>
  <c r="K6" i="23"/>
  <c r="O4" i="23"/>
  <c r="L7" i="23" s="1"/>
  <c r="L4" i="23"/>
  <c r="K6" i="22"/>
  <c r="O4" i="22"/>
  <c r="L7" i="22" s="1"/>
  <c r="M7" i="22" s="1"/>
  <c r="M6" i="22" s="1"/>
  <c r="L4" i="22"/>
  <c r="K6" i="21"/>
  <c r="O4" i="21"/>
  <c r="L7" i="21" s="1"/>
  <c r="M7" i="21" s="1"/>
  <c r="M6" i="21" s="1"/>
  <c r="L4" i="21"/>
  <c r="K6" i="20"/>
  <c r="O4" i="20"/>
  <c r="L7" i="20" s="1"/>
  <c r="M7" i="20" s="1"/>
  <c r="M6" i="20" s="1"/>
  <c r="L4" i="20"/>
  <c r="K6" i="19"/>
  <c r="O4" i="19"/>
  <c r="K4" i="19" s="1"/>
  <c r="L4" i="19"/>
  <c r="K6" i="18"/>
  <c r="O4" i="18"/>
  <c r="L7" i="18" s="1"/>
  <c r="M7" i="18" s="1"/>
  <c r="N7" i="18" s="1"/>
  <c r="L4" i="18"/>
  <c r="K6" i="17"/>
  <c r="O4" i="17"/>
  <c r="L7" i="17" s="1"/>
  <c r="L4" i="17"/>
  <c r="K6" i="16"/>
  <c r="O4" i="16"/>
  <c r="L7" i="16" s="1"/>
  <c r="M7" i="16" s="1"/>
  <c r="M6" i="16" s="1"/>
  <c r="L4" i="16"/>
  <c r="K6" i="15"/>
  <c r="O4" i="15"/>
  <c r="L7" i="15" s="1"/>
  <c r="M7" i="15" s="1"/>
  <c r="M6" i="15" s="1"/>
  <c r="L4" i="15"/>
  <c r="L4" i="1"/>
  <c r="AT8" i="1" s="1"/>
  <c r="K6" i="1"/>
  <c r="K6" i="14"/>
  <c r="O4" i="14"/>
  <c r="K4" i="14" s="1"/>
  <c r="L4" i="14"/>
  <c r="AN7" i="1" l="1"/>
  <c r="AO7" i="1" s="1"/>
  <c r="AT26" i="1"/>
  <c r="AT22" i="1"/>
  <c r="AT18" i="1"/>
  <c r="AT14" i="1"/>
  <c r="AT10" i="1"/>
  <c r="AT23" i="1"/>
  <c r="AT15" i="1"/>
  <c r="AT25" i="1"/>
  <c r="AT21" i="1"/>
  <c r="AT17" i="1"/>
  <c r="AT13" i="1"/>
  <c r="AT9" i="1"/>
  <c r="AT27" i="1"/>
  <c r="AT19" i="1"/>
  <c r="AT11" i="1"/>
  <c r="AT24" i="1"/>
  <c r="AT20" i="1"/>
  <c r="AT16" i="1"/>
  <c r="AT12" i="1"/>
  <c r="K4" i="24"/>
  <c r="AZ23" i="24" s="1"/>
  <c r="L6" i="24"/>
  <c r="M6" i="24"/>
  <c r="K4" i="23"/>
  <c r="AZ25" i="23" s="1"/>
  <c r="K4" i="22"/>
  <c r="AZ24" i="22" s="1"/>
  <c r="L7" i="1"/>
  <c r="AZ25" i="1"/>
  <c r="BC25" i="1" s="1"/>
  <c r="BD25" i="1" s="1"/>
  <c r="AZ27" i="1"/>
  <c r="BC27" i="1" s="1"/>
  <c r="BD27" i="1" s="1"/>
  <c r="AZ24" i="1"/>
  <c r="BC24" i="1" s="1"/>
  <c r="BD24" i="1" s="1"/>
  <c r="M7" i="23"/>
  <c r="L6" i="23"/>
  <c r="N7" i="21"/>
  <c r="N6" i="21" s="1"/>
  <c r="K4" i="21"/>
  <c r="AZ21" i="21" s="1"/>
  <c r="L6" i="21"/>
  <c r="K4" i="20"/>
  <c r="AZ27" i="20" s="1"/>
  <c r="M6" i="18"/>
  <c r="K4" i="17"/>
  <c r="AZ27" i="17" s="1"/>
  <c r="M7" i="17"/>
  <c r="M6" i="17" s="1"/>
  <c r="L6" i="17"/>
  <c r="N7" i="16"/>
  <c r="N6" i="16" s="1"/>
  <c r="K4" i="16"/>
  <c r="AZ27" i="16" s="1"/>
  <c r="L6" i="16"/>
  <c r="N7" i="15"/>
  <c r="K4" i="15"/>
  <c r="AZ22" i="15" s="1"/>
  <c r="L6" i="15"/>
  <c r="AZ27" i="24"/>
  <c r="AZ26" i="24"/>
  <c r="AZ25" i="24"/>
  <c r="O7" i="24"/>
  <c r="AZ9" i="24"/>
  <c r="AZ13" i="24"/>
  <c r="AZ17" i="24"/>
  <c r="AZ19" i="24"/>
  <c r="AZ11" i="24"/>
  <c r="AZ10" i="24"/>
  <c r="AZ12" i="24"/>
  <c r="AZ14" i="24"/>
  <c r="AZ18" i="24"/>
  <c r="AZ20" i="24"/>
  <c r="AZ22" i="24"/>
  <c r="AZ25" i="22"/>
  <c r="AZ21" i="22"/>
  <c r="AZ19" i="22"/>
  <c r="AZ14" i="22"/>
  <c r="AZ10" i="22"/>
  <c r="AZ9" i="22"/>
  <c r="L6" i="22"/>
  <c r="N7" i="22"/>
  <c r="L6" i="20"/>
  <c r="N7" i="20"/>
  <c r="AZ27" i="19"/>
  <c r="AZ26" i="19"/>
  <c r="AZ25" i="19"/>
  <c r="AZ24" i="19"/>
  <c r="AZ23" i="19"/>
  <c r="AZ22" i="19"/>
  <c r="AZ21" i="19"/>
  <c r="AZ20" i="19"/>
  <c r="AZ19" i="19"/>
  <c r="AZ18" i="19"/>
  <c r="AZ17" i="19"/>
  <c r="AZ16" i="19"/>
  <c r="AZ15" i="19"/>
  <c r="AZ14" i="19"/>
  <c r="AZ13" i="19"/>
  <c r="AZ12" i="19"/>
  <c r="AZ11" i="19"/>
  <c r="AZ10" i="19"/>
  <c r="AZ9" i="19"/>
  <c r="AZ8" i="19"/>
  <c r="L7" i="19"/>
  <c r="O7" i="18"/>
  <c r="N6" i="18"/>
  <c r="K4" i="18"/>
  <c r="L6" i="18"/>
  <c r="N7" i="17"/>
  <c r="AZ24" i="16"/>
  <c r="AZ15" i="16"/>
  <c r="AZ19" i="16"/>
  <c r="AZ12" i="16"/>
  <c r="AZ20" i="16"/>
  <c r="N6" i="15"/>
  <c r="O7" i="15"/>
  <c r="AZ18" i="1"/>
  <c r="BC18" i="1" s="1"/>
  <c r="BD18" i="1" s="1"/>
  <c r="AZ19" i="1"/>
  <c r="BC19" i="1" s="1"/>
  <c r="BD19" i="1" s="1"/>
  <c r="AZ21" i="1"/>
  <c r="BC21" i="1" s="1"/>
  <c r="BD21" i="1" s="1"/>
  <c r="AZ23" i="1"/>
  <c r="BC23" i="1" s="1"/>
  <c r="BD23" i="1" s="1"/>
  <c r="AZ8" i="1"/>
  <c r="BC8" i="1" s="1"/>
  <c r="BD8" i="1" s="1"/>
  <c r="AZ9" i="1"/>
  <c r="BC9" i="1" s="1"/>
  <c r="BD9" i="1" s="1"/>
  <c r="AZ10" i="1"/>
  <c r="BC10" i="1" s="1"/>
  <c r="BD10" i="1" s="1"/>
  <c r="AZ11" i="1"/>
  <c r="BC11" i="1" s="1"/>
  <c r="BD11" i="1" s="1"/>
  <c r="AZ12" i="1"/>
  <c r="BC12" i="1" s="1"/>
  <c r="BD12" i="1" s="1"/>
  <c r="AZ13" i="1"/>
  <c r="BC13" i="1" s="1"/>
  <c r="BD13" i="1" s="1"/>
  <c r="AZ14" i="1"/>
  <c r="BC14" i="1" s="1"/>
  <c r="BD14" i="1" s="1"/>
  <c r="AZ15" i="1"/>
  <c r="BC15" i="1" s="1"/>
  <c r="BD15" i="1" s="1"/>
  <c r="AZ16" i="1"/>
  <c r="BC16" i="1" s="1"/>
  <c r="BD16" i="1" s="1"/>
  <c r="AZ17" i="1"/>
  <c r="BC17" i="1" s="1"/>
  <c r="BD17" i="1" s="1"/>
  <c r="AZ20" i="1"/>
  <c r="BC20" i="1" s="1"/>
  <c r="BD20" i="1" s="1"/>
  <c r="AZ22" i="1"/>
  <c r="BC22" i="1" s="1"/>
  <c r="BD22" i="1" s="1"/>
  <c r="AZ27" i="14"/>
  <c r="AZ26" i="14"/>
  <c r="AZ25" i="14"/>
  <c r="AZ24" i="14"/>
  <c r="AZ23" i="14"/>
  <c r="AZ22" i="14"/>
  <c r="AZ21" i="14"/>
  <c r="AZ20" i="14"/>
  <c r="AZ19" i="14"/>
  <c r="AZ18" i="14"/>
  <c r="AZ17" i="14"/>
  <c r="AZ16" i="14"/>
  <c r="AZ15" i="14"/>
  <c r="AZ14" i="14"/>
  <c r="AZ13" i="14"/>
  <c r="AZ12" i="14"/>
  <c r="AZ11" i="14"/>
  <c r="AZ10" i="14"/>
  <c r="AZ9" i="14"/>
  <c r="AZ8" i="14"/>
  <c r="L7" i="14"/>
  <c r="AZ16" i="24" l="1"/>
  <c r="AZ8" i="24"/>
  <c r="AZ15" i="24"/>
  <c r="AZ24" i="24"/>
  <c r="AZ21" i="24"/>
  <c r="AZ15" i="22"/>
  <c r="AZ26" i="22"/>
  <c r="AZ21" i="15"/>
  <c r="AZ24" i="15"/>
  <c r="AZ15" i="15"/>
  <c r="AZ12" i="15"/>
  <c r="AZ23" i="15"/>
  <c r="AZ17" i="15"/>
  <c r="AZ20" i="15"/>
  <c r="AZ19" i="15"/>
  <c r="AZ14" i="15"/>
  <c r="AZ25" i="15"/>
  <c r="AZ19" i="23"/>
  <c r="AZ8" i="23"/>
  <c r="AZ12" i="23"/>
  <c r="AZ16" i="23"/>
  <c r="AZ20" i="23"/>
  <c r="AZ24" i="23"/>
  <c r="AZ10" i="23"/>
  <c r="AZ14" i="23"/>
  <c r="AZ18" i="23"/>
  <c r="AZ22" i="23"/>
  <c r="AZ26" i="23"/>
  <c r="AZ11" i="23"/>
  <c r="AZ15" i="23"/>
  <c r="AZ23" i="23"/>
  <c r="AZ27" i="23"/>
  <c r="AZ9" i="23"/>
  <c r="AZ13" i="23"/>
  <c r="AZ17" i="23"/>
  <c r="AZ21" i="23"/>
  <c r="AZ11" i="22"/>
  <c r="AZ17" i="22"/>
  <c r="AZ22" i="22"/>
  <c r="AZ27" i="22"/>
  <c r="AZ13" i="22"/>
  <c r="AZ18" i="22"/>
  <c r="AZ23" i="22"/>
  <c r="AZ9" i="21"/>
  <c r="AZ22" i="21"/>
  <c r="AZ27" i="21"/>
  <c r="AZ14" i="21"/>
  <c r="AZ23" i="21"/>
  <c r="AZ12" i="20"/>
  <c r="AZ17" i="20"/>
  <c r="AZ22" i="20"/>
  <c r="AZ8" i="20"/>
  <c r="AZ18" i="20"/>
  <c r="AZ9" i="20"/>
  <c r="AZ14" i="20"/>
  <c r="AZ20" i="20"/>
  <c r="AZ25" i="20"/>
  <c r="AZ13" i="20"/>
  <c r="AZ24" i="20"/>
  <c r="AZ10" i="20"/>
  <c r="AZ16" i="20"/>
  <c r="AZ21" i="20"/>
  <c r="AZ8" i="22"/>
  <c r="AZ12" i="22"/>
  <c r="AZ16" i="22"/>
  <c r="AZ20" i="22"/>
  <c r="AZ20" i="21"/>
  <c r="AZ12" i="21"/>
  <c r="AZ19" i="21"/>
  <c r="AZ24" i="21"/>
  <c r="AZ17" i="21"/>
  <c r="AZ18" i="21"/>
  <c r="AZ10" i="21"/>
  <c r="AZ15" i="21"/>
  <c r="AZ25" i="21"/>
  <c r="AZ13" i="21"/>
  <c r="AZ16" i="21"/>
  <c r="AZ8" i="21"/>
  <c r="AZ11" i="21"/>
  <c r="AZ26" i="21"/>
  <c r="O7" i="21"/>
  <c r="O6" i="21" s="1"/>
  <c r="AZ26" i="20"/>
  <c r="AZ11" i="20"/>
  <c r="AZ15" i="20"/>
  <c r="AZ19" i="20"/>
  <c r="AZ23" i="20"/>
  <c r="AZ13" i="17"/>
  <c r="AZ25" i="17"/>
  <c r="AZ10" i="17"/>
  <c r="AZ14" i="17"/>
  <c r="AZ18" i="17"/>
  <c r="AZ22" i="17"/>
  <c r="AZ26" i="17"/>
  <c r="AZ8" i="17"/>
  <c r="AZ12" i="17"/>
  <c r="AZ16" i="17"/>
  <c r="AZ20" i="17"/>
  <c r="AZ24" i="17"/>
  <c r="AZ9" i="17"/>
  <c r="AZ17" i="17"/>
  <c r="AZ21" i="17"/>
  <c r="AZ11" i="17"/>
  <c r="AZ15" i="17"/>
  <c r="AZ19" i="17"/>
  <c r="AZ23" i="17"/>
  <c r="AZ18" i="16"/>
  <c r="AZ10" i="16"/>
  <c r="AZ9" i="16"/>
  <c r="AZ13" i="16"/>
  <c r="AZ25" i="16"/>
  <c r="AZ16" i="16"/>
  <c r="AZ8" i="16"/>
  <c r="AZ21" i="16"/>
  <c r="AZ11" i="16"/>
  <c r="AZ26" i="16"/>
  <c r="AZ22" i="16"/>
  <c r="AZ14" i="16"/>
  <c r="AZ23" i="16"/>
  <c r="AZ17" i="16"/>
  <c r="O7" i="16"/>
  <c r="O6" i="16" s="1"/>
  <c r="AZ9" i="15"/>
  <c r="AZ8" i="15"/>
  <c r="AZ16" i="15"/>
  <c r="AZ27" i="15"/>
  <c r="AZ26" i="15"/>
  <c r="AZ11" i="15"/>
  <c r="AZ13" i="15"/>
  <c r="AZ10" i="15"/>
  <c r="AZ18" i="15"/>
  <c r="L6" i="1"/>
  <c r="M6" i="23"/>
  <c r="N7" i="23"/>
  <c r="O6" i="24"/>
  <c r="P7" i="24"/>
  <c r="N6" i="22"/>
  <c r="O7" i="22"/>
  <c r="N6" i="20"/>
  <c r="O7" i="20"/>
  <c r="L6" i="19"/>
  <c r="M7" i="19"/>
  <c r="O6" i="18"/>
  <c r="P7" i="18"/>
  <c r="AZ27" i="18"/>
  <c r="AZ26" i="18"/>
  <c r="AZ25" i="18"/>
  <c r="AZ24" i="18"/>
  <c r="AZ23" i="18"/>
  <c r="AZ21" i="18"/>
  <c r="AZ19" i="18"/>
  <c r="AZ17" i="18"/>
  <c r="AZ15" i="18"/>
  <c r="AZ13" i="18"/>
  <c r="AZ11" i="18"/>
  <c r="AZ9" i="18"/>
  <c r="AZ22" i="18"/>
  <c r="AZ20" i="18"/>
  <c r="AZ18" i="18"/>
  <c r="AZ16" i="18"/>
  <c r="AZ14" i="18"/>
  <c r="AZ12" i="18"/>
  <c r="AZ10" i="18"/>
  <c r="AZ8" i="18"/>
  <c r="N6" i="17"/>
  <c r="O7" i="17"/>
  <c r="O6" i="15"/>
  <c r="P7" i="15"/>
  <c r="L6" i="14"/>
  <c r="M7" i="14"/>
  <c r="P7" i="21" l="1"/>
  <c r="P7" i="16"/>
  <c r="Q7" i="16" s="1"/>
  <c r="M6" i="1"/>
  <c r="N6" i="23"/>
  <c r="O7" i="23"/>
  <c r="Q7" i="24"/>
  <c r="P6" i="24"/>
  <c r="O27" i="24"/>
  <c r="O26" i="24"/>
  <c r="O25" i="24"/>
  <c r="O24" i="24"/>
  <c r="O22" i="24"/>
  <c r="O20" i="24"/>
  <c r="O18" i="24"/>
  <c r="O16" i="24"/>
  <c r="O14" i="24"/>
  <c r="O12" i="24"/>
  <c r="O10" i="24"/>
  <c r="O8" i="24"/>
  <c r="O19" i="24"/>
  <c r="O11" i="24"/>
  <c r="O17" i="24"/>
  <c r="O15" i="24"/>
  <c r="O13" i="24"/>
  <c r="O9" i="24"/>
  <c r="O23" i="24"/>
  <c r="O21" i="24"/>
  <c r="O6" i="22"/>
  <c r="P7" i="22"/>
  <c r="Q7" i="21"/>
  <c r="P6" i="21"/>
  <c r="O27" i="21"/>
  <c r="O26" i="21"/>
  <c r="O25" i="21"/>
  <c r="O24" i="21"/>
  <c r="O22" i="21"/>
  <c r="O20" i="21"/>
  <c r="O18" i="21"/>
  <c r="O16" i="21"/>
  <c r="O14" i="21"/>
  <c r="O12" i="21"/>
  <c r="O10" i="21"/>
  <c r="O8" i="21"/>
  <c r="O23" i="21"/>
  <c r="O19" i="21"/>
  <c r="O15" i="21"/>
  <c r="O11" i="21"/>
  <c r="O9" i="21"/>
  <c r="O21" i="21"/>
  <c r="O17" i="21"/>
  <c r="O13" i="21"/>
  <c r="O6" i="20"/>
  <c r="P7" i="20"/>
  <c r="M6" i="19"/>
  <c r="N7" i="19"/>
  <c r="Q7" i="18"/>
  <c r="P6" i="18"/>
  <c r="O27" i="18"/>
  <c r="O26" i="18"/>
  <c r="O25" i="18"/>
  <c r="O24" i="18"/>
  <c r="O23" i="18"/>
  <c r="O21" i="18"/>
  <c r="O19" i="18"/>
  <c r="O17" i="18"/>
  <c r="O15" i="18"/>
  <c r="O13" i="18"/>
  <c r="O11" i="18"/>
  <c r="O9" i="18"/>
  <c r="O22" i="18"/>
  <c r="O20" i="18"/>
  <c r="O18" i="18"/>
  <c r="O16" i="18"/>
  <c r="O14" i="18"/>
  <c r="O12" i="18"/>
  <c r="O10" i="18"/>
  <c r="O8" i="18"/>
  <c r="O6" i="17"/>
  <c r="P7" i="17"/>
  <c r="P6" i="16"/>
  <c r="O27" i="16"/>
  <c r="O26" i="16"/>
  <c r="O25" i="16"/>
  <c r="O24" i="16"/>
  <c r="O22" i="16"/>
  <c r="O20" i="16"/>
  <c r="O18" i="16"/>
  <c r="O16" i="16"/>
  <c r="O14" i="16"/>
  <c r="O12" i="16"/>
  <c r="O10" i="16"/>
  <c r="O8" i="16"/>
  <c r="O23" i="16"/>
  <c r="O19" i="16"/>
  <c r="O9" i="16"/>
  <c r="O21" i="16"/>
  <c r="O17" i="16"/>
  <c r="O15" i="16"/>
  <c r="O13" i="16"/>
  <c r="O11" i="16"/>
  <c r="O26" i="15"/>
  <c r="O23" i="15"/>
  <c r="O27" i="15"/>
  <c r="O25" i="15"/>
  <c r="O24" i="15"/>
  <c r="O22" i="15"/>
  <c r="O20" i="15"/>
  <c r="O18" i="15"/>
  <c r="O16" i="15"/>
  <c r="O14" i="15"/>
  <c r="O12" i="15"/>
  <c r="O10" i="15"/>
  <c r="O8" i="15"/>
  <c r="O21" i="15"/>
  <c r="O17" i="15"/>
  <c r="O13" i="15"/>
  <c r="O9" i="15"/>
  <c r="O19" i="15"/>
  <c r="O15" i="15"/>
  <c r="O11" i="15"/>
  <c r="Q7" i="15"/>
  <c r="P6" i="15"/>
  <c r="M6" i="14"/>
  <c r="N7" i="14"/>
  <c r="N6" i="1" l="1"/>
  <c r="P7" i="23"/>
  <c r="O6" i="23"/>
  <c r="Q6" i="24"/>
  <c r="R7" i="24"/>
  <c r="Q7" i="22"/>
  <c r="P6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Q6" i="21"/>
  <c r="R7" i="21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Q7" i="20"/>
  <c r="P6" i="20"/>
  <c r="O7" i="19"/>
  <c r="N6" i="19"/>
  <c r="Q6" i="18"/>
  <c r="R7" i="18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Q7" i="17"/>
  <c r="P6" i="17"/>
  <c r="Q6" i="16"/>
  <c r="R7" i="16"/>
  <c r="Q6" i="15"/>
  <c r="R7" i="15"/>
  <c r="O7" i="14"/>
  <c r="N6" i="14"/>
  <c r="O6" i="1" l="1"/>
  <c r="O24" i="23"/>
  <c r="O20" i="23"/>
  <c r="O16" i="23"/>
  <c r="O12" i="23"/>
  <c r="O8" i="23"/>
  <c r="O27" i="23"/>
  <c r="O23" i="23"/>
  <c r="O19" i="23"/>
  <c r="O15" i="23"/>
  <c r="O11" i="23"/>
  <c r="O26" i="23"/>
  <c r="O22" i="23"/>
  <c r="O18" i="23"/>
  <c r="O14" i="23"/>
  <c r="O10" i="23"/>
  <c r="O25" i="23"/>
  <c r="O21" i="23"/>
  <c r="O17" i="23"/>
  <c r="O13" i="23"/>
  <c r="O9" i="23"/>
  <c r="P6" i="23"/>
  <c r="Q7" i="23"/>
  <c r="R6" i="24"/>
  <c r="S7" i="24"/>
  <c r="Q6" i="22"/>
  <c r="R7" i="22"/>
  <c r="R6" i="21"/>
  <c r="S7" i="21"/>
  <c r="Q6" i="20"/>
  <c r="R7" i="20"/>
  <c r="P7" i="19"/>
  <c r="O6" i="19"/>
  <c r="R6" i="18"/>
  <c r="S7" i="18"/>
  <c r="Q6" i="17"/>
  <c r="R7" i="17"/>
  <c r="R6" i="16"/>
  <c r="S7" i="16"/>
  <c r="R6" i="15"/>
  <c r="S7" i="15"/>
  <c r="O6" i="14"/>
  <c r="P7" i="14"/>
  <c r="O23" i="1" l="1"/>
  <c r="O11" i="1"/>
  <c r="O15" i="1"/>
  <c r="O19" i="1"/>
  <c r="O26" i="1"/>
  <c r="O8" i="1"/>
  <c r="O12" i="1"/>
  <c r="O16" i="1"/>
  <c r="O21" i="1"/>
  <c r="O24" i="1"/>
  <c r="O20" i="1"/>
  <c r="O9" i="1"/>
  <c r="O13" i="1"/>
  <c r="O17" i="1"/>
  <c r="O27" i="1"/>
  <c r="O22" i="1"/>
  <c r="O10" i="1"/>
  <c r="O14" i="1"/>
  <c r="O18" i="1"/>
  <c r="O25" i="1"/>
  <c r="P6" i="1"/>
  <c r="Q6" i="23"/>
  <c r="R7" i="23"/>
  <c r="S6" i="24"/>
  <c r="T7" i="24"/>
  <c r="R6" i="22"/>
  <c r="S7" i="22"/>
  <c r="S6" i="21"/>
  <c r="T7" i="21"/>
  <c r="R6" i="20"/>
  <c r="S7" i="20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P6" i="19"/>
  <c r="Q7" i="19"/>
  <c r="S6" i="18"/>
  <c r="T7" i="18"/>
  <c r="R6" i="17"/>
  <c r="S7" i="17"/>
  <c r="S6" i="16"/>
  <c r="T7" i="16"/>
  <c r="S6" i="15"/>
  <c r="T7" i="15"/>
  <c r="P6" i="14"/>
  <c r="Q7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Q6" i="1" l="1"/>
  <c r="S7" i="23"/>
  <c r="R6" i="23"/>
  <c r="U7" i="24"/>
  <c r="T6" i="24"/>
  <c r="S6" i="22"/>
  <c r="T7" i="22"/>
  <c r="U7" i="21"/>
  <c r="T6" i="21"/>
  <c r="S6" i="20"/>
  <c r="T7" i="20"/>
  <c r="Q6" i="19"/>
  <c r="R7" i="19"/>
  <c r="U7" i="18"/>
  <c r="T6" i="18"/>
  <c r="S6" i="17"/>
  <c r="T7" i="17"/>
  <c r="U7" i="16"/>
  <c r="T6" i="16"/>
  <c r="U7" i="15"/>
  <c r="T6" i="15"/>
  <c r="Q6" i="14"/>
  <c r="R7" i="14"/>
  <c r="R6" i="1" l="1"/>
  <c r="T7" i="23"/>
  <c r="S6" i="23"/>
  <c r="U6" i="24"/>
  <c r="V7" i="24"/>
  <c r="U7" i="22"/>
  <c r="T6" i="22"/>
  <c r="V7" i="21"/>
  <c r="U6" i="21"/>
  <c r="U7" i="20"/>
  <c r="T6" i="20"/>
  <c r="S7" i="19"/>
  <c r="R6" i="19"/>
  <c r="V7" i="18"/>
  <c r="U6" i="18"/>
  <c r="U7" i="17"/>
  <c r="T6" i="17"/>
  <c r="U6" i="16"/>
  <c r="V7" i="16"/>
  <c r="U6" i="15"/>
  <c r="V7" i="15"/>
  <c r="S7" i="14"/>
  <c r="R6" i="14"/>
  <c r="S6" i="1" l="1"/>
  <c r="U7" i="23"/>
  <c r="T6" i="23"/>
  <c r="V6" i="24"/>
  <c r="W7" i="24"/>
  <c r="U6" i="22"/>
  <c r="V7" i="22"/>
  <c r="V6" i="21"/>
  <c r="W7" i="21"/>
  <c r="U6" i="20"/>
  <c r="V7" i="20"/>
  <c r="S6" i="19"/>
  <c r="T7" i="19"/>
  <c r="W7" i="18"/>
  <c r="V6" i="18"/>
  <c r="U6" i="17"/>
  <c r="V7" i="17"/>
  <c r="V6" i="16"/>
  <c r="W7" i="16"/>
  <c r="V6" i="15"/>
  <c r="W7" i="15"/>
  <c r="T7" i="14"/>
  <c r="S6" i="14"/>
  <c r="T6" i="1" l="1"/>
  <c r="U6" i="23"/>
  <c r="V7" i="23"/>
  <c r="V27" i="24"/>
  <c r="V26" i="24"/>
  <c r="V25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W6" i="24"/>
  <c r="X7" i="24"/>
  <c r="V6" i="22"/>
  <c r="W7" i="22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W6" i="21"/>
  <c r="X7" i="21"/>
  <c r="V6" i="20"/>
  <c r="W7" i="20"/>
  <c r="T6" i="19"/>
  <c r="U7" i="19"/>
  <c r="V9" i="18"/>
  <c r="V8" i="18"/>
  <c r="V27" i="18"/>
  <c r="V26" i="18"/>
  <c r="V25" i="18"/>
  <c r="V24" i="18"/>
  <c r="V23" i="18"/>
  <c r="V22" i="18"/>
  <c r="V21" i="18"/>
  <c r="V20" i="18"/>
  <c r="V19" i="18"/>
  <c r="V18" i="18"/>
  <c r="V17" i="18"/>
  <c r="V16" i="18"/>
  <c r="V15" i="18"/>
  <c r="V14" i="18"/>
  <c r="V13" i="18"/>
  <c r="V12" i="18"/>
  <c r="V11" i="18"/>
  <c r="V10" i="18"/>
  <c r="W6" i="18"/>
  <c r="X7" i="18"/>
  <c r="V6" i="17"/>
  <c r="W7" i="17"/>
  <c r="W6" i="16"/>
  <c r="X7" i="16"/>
  <c r="V27" i="16"/>
  <c r="V26" i="16"/>
  <c r="V25" i="16"/>
  <c r="V24" i="16"/>
  <c r="V23" i="16"/>
  <c r="V22" i="16"/>
  <c r="V21" i="16"/>
  <c r="V20" i="16"/>
  <c r="V19" i="16"/>
  <c r="V18" i="16"/>
  <c r="V17" i="16"/>
  <c r="V16" i="16"/>
  <c r="V15" i="16"/>
  <c r="V14" i="16"/>
  <c r="V13" i="16"/>
  <c r="V12" i="16"/>
  <c r="V11" i="16"/>
  <c r="V10" i="16"/>
  <c r="V9" i="16"/>
  <c r="V8" i="16"/>
  <c r="W6" i="15"/>
  <c r="X7" i="15"/>
  <c r="V27" i="15"/>
  <c r="V26" i="15"/>
  <c r="V25" i="15"/>
  <c r="V24" i="15"/>
  <c r="V23" i="15"/>
  <c r="V22" i="15"/>
  <c r="V21" i="15"/>
  <c r="V20" i="15"/>
  <c r="V19" i="15"/>
  <c r="V18" i="15"/>
  <c r="V17" i="15"/>
  <c r="V16" i="15"/>
  <c r="V15" i="15"/>
  <c r="V14" i="15"/>
  <c r="V13" i="15"/>
  <c r="V12" i="15"/>
  <c r="V11" i="15"/>
  <c r="V10" i="15"/>
  <c r="V9" i="15"/>
  <c r="V8" i="15"/>
  <c r="T6" i="14"/>
  <c r="U7" i="14"/>
  <c r="U6" i="1" l="1"/>
  <c r="V6" i="23"/>
  <c r="W7" i="23"/>
  <c r="Y7" i="24"/>
  <c r="X6" i="24"/>
  <c r="W6" i="22"/>
  <c r="X7" i="22"/>
  <c r="V27" i="22"/>
  <c r="V26" i="22"/>
  <c r="V25" i="22"/>
  <c r="V24" i="22"/>
  <c r="V23" i="22"/>
  <c r="V22" i="22"/>
  <c r="V21" i="22"/>
  <c r="V20" i="22"/>
  <c r="V19" i="22"/>
  <c r="V18" i="22"/>
  <c r="V17" i="22"/>
  <c r="V16" i="22"/>
  <c r="V15" i="22"/>
  <c r="V14" i="22"/>
  <c r="V13" i="22"/>
  <c r="V12" i="22"/>
  <c r="V11" i="22"/>
  <c r="V10" i="22"/>
  <c r="V9" i="22"/>
  <c r="V8" i="22"/>
  <c r="Y7" i="21"/>
  <c r="X6" i="21"/>
  <c r="W6" i="20"/>
  <c r="X7" i="20"/>
  <c r="V27" i="20"/>
  <c r="V26" i="20"/>
  <c r="V25" i="20"/>
  <c r="V24" i="20"/>
  <c r="V23" i="20"/>
  <c r="V22" i="20"/>
  <c r="V21" i="20"/>
  <c r="V20" i="20"/>
  <c r="V19" i="20"/>
  <c r="V18" i="20"/>
  <c r="V17" i="20"/>
  <c r="V16" i="20"/>
  <c r="V15" i="20"/>
  <c r="V14" i="20"/>
  <c r="V13" i="20"/>
  <c r="V12" i="20"/>
  <c r="V11" i="20"/>
  <c r="V10" i="20"/>
  <c r="V9" i="20"/>
  <c r="V8" i="20"/>
  <c r="U6" i="19"/>
  <c r="V7" i="19"/>
  <c r="Y7" i="18"/>
  <c r="X6" i="18"/>
  <c r="W6" i="17"/>
  <c r="X7" i="17"/>
  <c r="V9" i="17"/>
  <c r="V27" i="17"/>
  <c r="V26" i="17"/>
  <c r="V25" i="17"/>
  <c r="V24" i="17"/>
  <c r="V23" i="17"/>
  <c r="V22" i="17"/>
  <c r="V21" i="17"/>
  <c r="V20" i="17"/>
  <c r="V19" i="17"/>
  <c r="V18" i="17"/>
  <c r="V17" i="17"/>
  <c r="V16" i="17"/>
  <c r="V15" i="17"/>
  <c r="V14" i="17"/>
  <c r="V13" i="17"/>
  <c r="V12" i="17"/>
  <c r="V11" i="17"/>
  <c r="V10" i="17"/>
  <c r="V8" i="17"/>
  <c r="Y7" i="16"/>
  <c r="X6" i="16"/>
  <c r="Y7" i="15"/>
  <c r="X6" i="15"/>
  <c r="U6" i="14"/>
  <c r="V7" i="14"/>
  <c r="V6" i="1" l="1"/>
  <c r="W6" i="23"/>
  <c r="X7" i="23"/>
  <c r="V25" i="23"/>
  <c r="V21" i="23"/>
  <c r="V17" i="23"/>
  <c r="V13" i="23"/>
  <c r="V9" i="23"/>
  <c r="V18" i="23"/>
  <c r="V24" i="23"/>
  <c r="V20" i="23"/>
  <c r="V16" i="23"/>
  <c r="V12" i="23"/>
  <c r="V8" i="23"/>
  <c r="V27" i="23"/>
  <c r="V23" i="23"/>
  <c r="V19" i="23"/>
  <c r="V15" i="23"/>
  <c r="V11" i="23"/>
  <c r="V26" i="23"/>
  <c r="V22" i="23"/>
  <c r="V14" i="23"/>
  <c r="V10" i="23"/>
  <c r="Y6" i="24"/>
  <c r="Z7" i="24"/>
  <c r="Y7" i="22"/>
  <c r="X6" i="22"/>
  <c r="Y6" i="21"/>
  <c r="Z7" i="21"/>
  <c r="Y7" i="20"/>
  <c r="X6" i="20"/>
  <c r="W7" i="19"/>
  <c r="V6" i="19"/>
  <c r="Z7" i="18"/>
  <c r="Y6" i="18"/>
  <c r="Y7" i="17"/>
  <c r="X6" i="17"/>
  <c r="Y6" i="16"/>
  <c r="Z7" i="16"/>
  <c r="Y6" i="15"/>
  <c r="Z7" i="15"/>
  <c r="W7" i="14"/>
  <c r="V6" i="14"/>
  <c r="V8" i="1" l="1"/>
  <c r="V12" i="1"/>
  <c r="V16" i="1"/>
  <c r="V20" i="1"/>
  <c r="V24" i="1"/>
  <c r="V17" i="1"/>
  <c r="V25" i="1"/>
  <c r="V10" i="1"/>
  <c r="V14" i="1"/>
  <c r="V18" i="1"/>
  <c r="V22" i="1"/>
  <c r="V26" i="1"/>
  <c r="V9" i="1"/>
  <c r="V11" i="1"/>
  <c r="V15" i="1"/>
  <c r="V19" i="1"/>
  <c r="V23" i="1"/>
  <c r="V27" i="1"/>
  <c r="V13" i="1"/>
  <c r="V21" i="1"/>
  <c r="W6" i="1"/>
  <c r="Y7" i="23"/>
  <c r="X6" i="23"/>
  <c r="Z6" i="24"/>
  <c r="AA7" i="24"/>
  <c r="Y6" i="22"/>
  <c r="Z7" i="22"/>
  <c r="Z6" i="21"/>
  <c r="AA7" i="21"/>
  <c r="Y6" i="20"/>
  <c r="Z7" i="20"/>
  <c r="V25" i="19"/>
  <c r="V23" i="19"/>
  <c r="V21" i="19"/>
  <c r="V19" i="19"/>
  <c r="V17" i="19"/>
  <c r="V15" i="19"/>
  <c r="V13" i="19"/>
  <c r="V11" i="19"/>
  <c r="V9" i="19"/>
  <c r="V26" i="19"/>
  <c r="V27" i="19"/>
  <c r="V24" i="19"/>
  <c r="V22" i="19"/>
  <c r="V20" i="19"/>
  <c r="V18" i="19"/>
  <c r="V16" i="19"/>
  <c r="V14" i="19"/>
  <c r="V12" i="19"/>
  <c r="V10" i="19"/>
  <c r="V8" i="19"/>
  <c r="X7" i="19"/>
  <c r="W6" i="19"/>
  <c r="Z6" i="18"/>
  <c r="AA7" i="18"/>
  <c r="Y6" i="17"/>
  <c r="Z7" i="17"/>
  <c r="Z6" i="16"/>
  <c r="AA7" i="16"/>
  <c r="Z6" i="15"/>
  <c r="AA7" i="15"/>
  <c r="V27" i="14"/>
  <c r="V26" i="14"/>
  <c r="V25" i="14"/>
  <c r="V24" i="14"/>
  <c r="V23" i="14"/>
  <c r="V22" i="14"/>
  <c r="V20" i="14"/>
  <c r="V14" i="14"/>
  <c r="V10" i="14"/>
  <c r="V21" i="14"/>
  <c r="V19" i="14"/>
  <c r="V17" i="14"/>
  <c r="V15" i="14"/>
  <c r="V13" i="14"/>
  <c r="V11" i="14"/>
  <c r="V9" i="14"/>
  <c r="V18" i="14"/>
  <c r="V16" i="14"/>
  <c r="V12" i="14"/>
  <c r="V8" i="14"/>
  <c r="W6" i="14"/>
  <c r="X7" i="14"/>
  <c r="X6" i="1" l="1"/>
  <c r="Y6" i="23"/>
  <c r="Z7" i="23"/>
  <c r="AA6" i="24"/>
  <c r="AB7" i="24"/>
  <c r="Z6" i="22"/>
  <c r="AA7" i="22"/>
  <c r="AA6" i="21"/>
  <c r="AB7" i="21"/>
  <c r="Z6" i="20"/>
  <c r="AA7" i="20"/>
  <c r="X6" i="19"/>
  <c r="Y7" i="19"/>
  <c r="AA6" i="18"/>
  <c r="AB7" i="18"/>
  <c r="Z6" i="17"/>
  <c r="AA7" i="17"/>
  <c r="AA6" i="16"/>
  <c r="AB7" i="16"/>
  <c r="AA6" i="15"/>
  <c r="AB7" i="15"/>
  <c r="X6" i="14"/>
  <c r="Y7" i="14"/>
  <c r="Y6" i="1" l="1"/>
  <c r="Z6" i="23"/>
  <c r="AA7" i="23"/>
  <c r="AC7" i="24"/>
  <c r="AB6" i="24"/>
  <c r="AA6" i="22"/>
  <c r="AB7" i="22"/>
  <c r="AC7" i="21"/>
  <c r="AB6" i="21"/>
  <c r="AA6" i="20"/>
  <c r="AB7" i="20"/>
  <c r="Y6" i="19"/>
  <c r="Z7" i="19"/>
  <c r="AC7" i="18"/>
  <c r="AB6" i="18"/>
  <c r="AA6" i="17"/>
  <c r="AB7" i="17"/>
  <c r="AC7" i="16"/>
  <c r="AB6" i="16"/>
  <c r="AC7" i="15"/>
  <c r="AB6" i="15"/>
  <c r="Y6" i="14"/>
  <c r="Z7" i="14"/>
  <c r="Z6" i="1" l="1"/>
  <c r="AB7" i="23"/>
  <c r="AA6" i="23"/>
  <c r="AC6" i="24"/>
  <c r="AD7" i="24"/>
  <c r="AC7" i="22"/>
  <c r="AB6" i="22"/>
  <c r="AC6" i="21"/>
  <c r="AD7" i="21"/>
  <c r="AC7" i="20"/>
  <c r="AB6" i="20"/>
  <c r="AA7" i="19"/>
  <c r="Z6" i="19"/>
  <c r="AC6" i="18"/>
  <c r="AD7" i="18"/>
  <c r="AC7" i="17"/>
  <c r="AB6" i="17"/>
  <c r="AC6" i="16"/>
  <c r="AD7" i="16"/>
  <c r="AC6" i="15"/>
  <c r="AD7" i="15"/>
  <c r="AA7" i="14"/>
  <c r="Z6" i="14"/>
  <c r="AA6" i="1" l="1"/>
  <c r="AB6" i="23"/>
  <c r="AC7" i="23"/>
  <c r="AD6" i="24"/>
  <c r="AE7" i="24"/>
  <c r="AC27" i="24"/>
  <c r="AC26" i="24"/>
  <c r="AC25" i="24"/>
  <c r="AC24" i="24"/>
  <c r="AC23" i="24"/>
  <c r="AC22" i="24"/>
  <c r="AC21" i="24"/>
  <c r="AC20" i="24"/>
  <c r="AC19" i="24"/>
  <c r="AC18" i="24"/>
  <c r="AC17" i="24"/>
  <c r="AC16" i="24"/>
  <c r="AC15" i="24"/>
  <c r="AC14" i="24"/>
  <c r="AC13" i="24"/>
  <c r="AC12" i="24"/>
  <c r="AC11" i="24"/>
  <c r="AC10" i="24"/>
  <c r="AC9" i="24"/>
  <c r="AC8" i="24"/>
  <c r="AC6" i="22"/>
  <c r="AD7" i="22"/>
  <c r="AD6" i="21"/>
  <c r="AE7" i="21"/>
  <c r="AC27" i="21"/>
  <c r="AC26" i="21"/>
  <c r="AC25" i="21"/>
  <c r="AC24" i="21"/>
  <c r="AC23" i="21"/>
  <c r="AC22" i="21"/>
  <c r="AC21" i="21"/>
  <c r="AC20" i="21"/>
  <c r="AC19" i="21"/>
  <c r="AC18" i="21"/>
  <c r="AC17" i="21"/>
  <c r="AC16" i="21"/>
  <c r="AC15" i="21"/>
  <c r="AC14" i="21"/>
  <c r="AC13" i="21"/>
  <c r="AC12" i="21"/>
  <c r="AC11" i="21"/>
  <c r="AC10" i="21"/>
  <c r="AC9" i="21"/>
  <c r="AC8" i="21"/>
  <c r="AC6" i="20"/>
  <c r="AD7" i="20"/>
  <c r="AA6" i="19"/>
  <c r="AB7" i="19"/>
  <c r="AE7" i="18"/>
  <c r="AD6" i="18"/>
  <c r="AC27" i="18"/>
  <c r="AC26" i="18"/>
  <c r="AC25" i="18"/>
  <c r="AC24" i="18"/>
  <c r="AC23" i="18"/>
  <c r="AC22" i="18"/>
  <c r="AC21" i="18"/>
  <c r="AC20" i="18"/>
  <c r="AC19" i="18"/>
  <c r="AC18" i="18"/>
  <c r="AC17" i="18"/>
  <c r="AC16" i="18"/>
  <c r="AC15" i="18"/>
  <c r="AC14" i="18"/>
  <c r="AC13" i="18"/>
  <c r="AC12" i="18"/>
  <c r="AC11" i="18"/>
  <c r="AC10" i="18"/>
  <c r="AC9" i="18"/>
  <c r="AC8" i="18"/>
  <c r="AC6" i="17"/>
  <c r="AD7" i="17"/>
  <c r="AD6" i="16"/>
  <c r="AE7" i="16"/>
  <c r="AC27" i="16"/>
  <c r="AC26" i="16"/>
  <c r="AC25" i="16"/>
  <c r="AC24" i="16"/>
  <c r="AC23" i="16"/>
  <c r="AC22" i="16"/>
  <c r="AC21" i="16"/>
  <c r="AC20" i="16"/>
  <c r="AC19" i="16"/>
  <c r="AC18" i="16"/>
  <c r="AC17" i="16"/>
  <c r="AC16" i="16"/>
  <c r="AC15" i="16"/>
  <c r="AC14" i="16"/>
  <c r="AC13" i="16"/>
  <c r="AC12" i="16"/>
  <c r="AC11" i="16"/>
  <c r="AC10" i="16"/>
  <c r="AC9" i="16"/>
  <c r="AC8" i="16"/>
  <c r="AD6" i="15"/>
  <c r="AE7" i="15"/>
  <c r="AC27" i="15"/>
  <c r="AC26" i="15"/>
  <c r="AC25" i="15"/>
  <c r="AC24" i="15"/>
  <c r="AC23" i="15"/>
  <c r="AC22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8" i="15"/>
  <c r="AB7" i="14"/>
  <c r="AA6" i="14"/>
  <c r="AB6" i="1" l="1"/>
  <c r="AC6" i="23"/>
  <c r="AD7" i="23"/>
  <c r="AE6" i="24"/>
  <c r="AF7" i="24"/>
  <c r="AD6" i="22"/>
  <c r="AE7" i="22"/>
  <c r="AC27" i="22"/>
  <c r="AC26" i="22"/>
  <c r="AC25" i="22"/>
  <c r="AC24" i="22"/>
  <c r="AC23" i="22"/>
  <c r="AC22" i="22"/>
  <c r="AC21" i="22"/>
  <c r="AC20" i="22"/>
  <c r="AC19" i="22"/>
  <c r="AC18" i="22"/>
  <c r="AC17" i="22"/>
  <c r="AC16" i="22"/>
  <c r="AC15" i="22"/>
  <c r="AC14" i="22"/>
  <c r="AC13" i="22"/>
  <c r="AC12" i="22"/>
  <c r="AC11" i="22"/>
  <c r="AC10" i="22"/>
  <c r="AC9" i="22"/>
  <c r="AC8" i="22"/>
  <c r="AE6" i="21"/>
  <c r="AF7" i="21"/>
  <c r="AD6" i="20"/>
  <c r="AE7" i="20"/>
  <c r="AC27" i="20"/>
  <c r="AC26" i="20"/>
  <c r="AC25" i="20"/>
  <c r="AC24" i="20"/>
  <c r="AC23" i="20"/>
  <c r="AC22" i="20"/>
  <c r="AC21" i="20"/>
  <c r="AC20" i="20"/>
  <c r="AC19" i="20"/>
  <c r="AC18" i="20"/>
  <c r="AC17" i="20"/>
  <c r="AC16" i="20"/>
  <c r="AC15" i="20"/>
  <c r="AC14" i="20"/>
  <c r="AC13" i="20"/>
  <c r="AC12" i="20"/>
  <c r="AC11" i="20"/>
  <c r="AC10" i="20"/>
  <c r="AC9" i="20"/>
  <c r="AC8" i="20"/>
  <c r="AB6" i="19"/>
  <c r="AC7" i="19"/>
  <c r="AE6" i="18"/>
  <c r="AF7" i="18"/>
  <c r="AD6" i="17"/>
  <c r="AE7" i="17"/>
  <c r="AC27" i="17"/>
  <c r="AC26" i="17"/>
  <c r="AC25" i="17"/>
  <c r="AC24" i="17"/>
  <c r="AC23" i="17"/>
  <c r="AC22" i="17"/>
  <c r="AC21" i="17"/>
  <c r="AC20" i="17"/>
  <c r="AC19" i="17"/>
  <c r="AC18" i="17"/>
  <c r="AC17" i="17"/>
  <c r="AC16" i="17"/>
  <c r="AC15" i="17"/>
  <c r="AC14" i="17"/>
  <c r="AC13" i="17"/>
  <c r="AC12" i="17"/>
  <c r="AC11" i="17"/>
  <c r="AC10" i="17"/>
  <c r="AC9" i="17"/>
  <c r="AC8" i="17"/>
  <c r="AE6" i="16"/>
  <c r="AF7" i="16"/>
  <c r="AE6" i="15"/>
  <c r="AF7" i="15"/>
  <c r="AB6" i="14"/>
  <c r="AC7" i="14"/>
  <c r="AC6" i="1" l="1"/>
  <c r="AD6" i="23"/>
  <c r="AE7" i="23"/>
  <c r="AC27" i="23"/>
  <c r="AC23" i="23"/>
  <c r="AC19" i="23"/>
  <c r="AC15" i="23"/>
  <c r="AC11" i="23"/>
  <c r="AC21" i="23"/>
  <c r="AC17" i="23"/>
  <c r="AC9" i="23"/>
  <c r="AC20" i="23"/>
  <c r="AC16" i="23"/>
  <c r="AC8" i="23"/>
  <c r="AC26" i="23"/>
  <c r="AC22" i="23"/>
  <c r="AC18" i="23"/>
  <c r="AC14" i="23"/>
  <c r="AC10" i="23"/>
  <c r="AC25" i="23"/>
  <c r="AC13" i="23"/>
  <c r="AC24" i="23"/>
  <c r="AC12" i="23"/>
  <c r="AG7" i="24"/>
  <c r="AF6" i="24"/>
  <c r="AE6" i="22"/>
  <c r="AF7" i="22"/>
  <c r="AG7" i="21"/>
  <c r="AF6" i="21"/>
  <c r="AE6" i="20"/>
  <c r="AF7" i="20"/>
  <c r="AC6" i="19"/>
  <c r="AD7" i="19"/>
  <c r="AG7" i="18"/>
  <c r="AF6" i="18"/>
  <c r="AE6" i="17"/>
  <c r="AF7" i="17"/>
  <c r="AG7" i="16"/>
  <c r="AF6" i="16"/>
  <c r="AG7" i="15"/>
  <c r="AF6" i="15"/>
  <c r="AC6" i="14"/>
  <c r="AD7" i="14"/>
  <c r="AC15" i="1" l="1"/>
  <c r="AC26" i="1"/>
  <c r="AC14" i="1"/>
  <c r="AC9" i="1"/>
  <c r="AC27" i="1"/>
  <c r="AC12" i="1"/>
  <c r="AC11" i="1"/>
  <c r="AC25" i="1"/>
  <c r="AC19" i="1"/>
  <c r="AC8" i="1"/>
  <c r="AC18" i="1"/>
  <c r="AC13" i="1"/>
  <c r="AC24" i="1"/>
  <c r="AC21" i="1"/>
  <c r="AC23" i="1"/>
  <c r="AC16" i="1"/>
  <c r="AC22" i="1"/>
  <c r="AC17" i="1"/>
  <c r="AC20" i="1"/>
  <c r="AC10" i="1"/>
  <c r="AD6" i="1"/>
  <c r="AE6" i="23"/>
  <c r="AF7" i="23"/>
  <c r="AG6" i="24"/>
  <c r="AH7" i="24"/>
  <c r="AG7" i="22"/>
  <c r="AF6" i="22"/>
  <c r="AG6" i="21"/>
  <c r="AH7" i="21"/>
  <c r="AG7" i="20"/>
  <c r="AF6" i="20"/>
  <c r="AE7" i="19"/>
  <c r="AD6" i="19"/>
  <c r="AC27" i="19"/>
  <c r="AC26" i="19"/>
  <c r="AC25" i="19"/>
  <c r="AC23" i="19"/>
  <c r="AC21" i="19"/>
  <c r="AC15" i="19"/>
  <c r="AC11" i="19"/>
  <c r="AC24" i="19"/>
  <c r="AC22" i="19"/>
  <c r="AC20" i="19"/>
  <c r="AC18" i="19"/>
  <c r="AC16" i="19"/>
  <c r="AC14" i="19"/>
  <c r="AC12" i="19"/>
  <c r="AC10" i="19"/>
  <c r="AC8" i="19"/>
  <c r="AC19" i="19"/>
  <c r="AC17" i="19"/>
  <c r="AC13" i="19"/>
  <c r="AC9" i="19"/>
  <c r="AG6" i="18"/>
  <c r="AH7" i="18"/>
  <c r="AG7" i="17"/>
  <c r="AF6" i="17"/>
  <c r="AG6" i="16"/>
  <c r="AH7" i="16"/>
  <c r="AG6" i="15"/>
  <c r="AH7" i="15"/>
  <c r="AE7" i="14"/>
  <c r="AD6" i="14"/>
  <c r="AC27" i="14"/>
  <c r="AC26" i="14"/>
  <c r="AC24" i="14"/>
  <c r="AC23" i="14"/>
  <c r="AC25" i="14"/>
  <c r="AC22" i="14"/>
  <c r="AC21" i="14"/>
  <c r="AC19" i="14"/>
  <c r="AC17" i="14"/>
  <c r="AC15" i="14"/>
  <c r="AC13" i="14"/>
  <c r="AC11" i="14"/>
  <c r="AC9" i="14"/>
  <c r="AC20" i="14"/>
  <c r="AC18" i="14"/>
  <c r="AC16" i="14"/>
  <c r="AC14" i="14"/>
  <c r="AC12" i="14"/>
  <c r="AC10" i="14"/>
  <c r="AC8" i="14"/>
  <c r="AE6" i="1" l="1"/>
  <c r="AF6" i="23"/>
  <c r="AG7" i="23"/>
  <c r="AH6" i="24"/>
  <c r="AI7" i="24"/>
  <c r="AG6" i="22"/>
  <c r="AH7" i="22"/>
  <c r="AH6" i="21"/>
  <c r="AI7" i="21"/>
  <c r="AG6" i="20"/>
  <c r="AH7" i="20"/>
  <c r="AF7" i="19"/>
  <c r="AE6" i="19"/>
  <c r="AH6" i="18"/>
  <c r="AI7" i="18"/>
  <c r="AG6" i="17"/>
  <c r="AH7" i="17"/>
  <c r="AH6" i="16"/>
  <c r="AI7" i="16"/>
  <c r="AH6" i="15"/>
  <c r="AI7" i="15"/>
  <c r="AE6" i="14"/>
  <c r="AF7" i="14"/>
  <c r="AF6" i="1" l="1"/>
  <c r="AH7" i="23"/>
  <c r="AG6" i="23"/>
  <c r="AI6" i="24"/>
  <c r="AJ7" i="24"/>
  <c r="AH6" i="22"/>
  <c r="AI7" i="22"/>
  <c r="AI6" i="21"/>
  <c r="AJ7" i="21"/>
  <c r="AH6" i="20"/>
  <c r="AI7" i="20"/>
  <c r="AF6" i="19"/>
  <c r="AG7" i="19"/>
  <c r="AI6" i="18"/>
  <c r="AJ7" i="18"/>
  <c r="AH6" i="17"/>
  <c r="AI7" i="17"/>
  <c r="AI6" i="16"/>
  <c r="AJ7" i="16"/>
  <c r="AI6" i="15"/>
  <c r="AJ7" i="15"/>
  <c r="AF6" i="14"/>
  <c r="AG7" i="14"/>
  <c r="AG6" i="1" l="1"/>
  <c r="AI7" i="23"/>
  <c r="AH6" i="23"/>
  <c r="AK7" i="24"/>
  <c r="AJ6" i="24"/>
  <c r="AI6" i="22"/>
  <c r="AJ7" i="22"/>
  <c r="AK7" i="21"/>
  <c r="AJ6" i="21"/>
  <c r="AI6" i="20"/>
  <c r="AJ7" i="20"/>
  <c r="AG6" i="19"/>
  <c r="AH7" i="19"/>
  <c r="AK7" i="18"/>
  <c r="AJ6" i="18"/>
  <c r="AI6" i="17"/>
  <c r="AJ7" i="17"/>
  <c r="AK7" i="16"/>
  <c r="AJ6" i="16"/>
  <c r="AK7" i="15"/>
  <c r="AJ6" i="15"/>
  <c r="AG6" i="14"/>
  <c r="AH7" i="14"/>
  <c r="AH6" i="1" l="1"/>
  <c r="AI6" i="23"/>
  <c r="AJ7" i="23"/>
  <c r="AJ26" i="24"/>
  <c r="AJ22" i="24"/>
  <c r="AJ18" i="24"/>
  <c r="AJ14" i="24"/>
  <c r="AJ8" i="24"/>
  <c r="AJ27" i="24"/>
  <c r="AJ23" i="24"/>
  <c r="AJ21" i="24"/>
  <c r="AJ19" i="24"/>
  <c r="AJ17" i="24"/>
  <c r="AJ15" i="24"/>
  <c r="AJ13" i="24"/>
  <c r="AJ11" i="24"/>
  <c r="AJ9" i="24"/>
  <c r="AJ25" i="24"/>
  <c r="AJ24" i="24"/>
  <c r="AJ20" i="24"/>
  <c r="AJ16" i="24"/>
  <c r="AJ12" i="24"/>
  <c r="AJ10" i="24"/>
  <c r="AK6" i="24"/>
  <c r="AL7" i="24"/>
  <c r="AK7" i="22"/>
  <c r="AJ6" i="22"/>
  <c r="AJ26" i="21"/>
  <c r="AJ25" i="21"/>
  <c r="AJ24" i="21"/>
  <c r="AJ20" i="21"/>
  <c r="AJ16" i="21"/>
  <c r="AJ14" i="21"/>
  <c r="AJ10" i="21"/>
  <c r="AJ27" i="21"/>
  <c r="AJ23" i="21"/>
  <c r="AJ21" i="21"/>
  <c r="AJ19" i="21"/>
  <c r="AJ17" i="21"/>
  <c r="AJ15" i="21"/>
  <c r="AJ13" i="21"/>
  <c r="AJ11" i="21"/>
  <c r="AJ9" i="21"/>
  <c r="AJ22" i="21"/>
  <c r="AJ18" i="21"/>
  <c r="AJ12" i="21"/>
  <c r="AJ8" i="21"/>
  <c r="AK6" i="21"/>
  <c r="AL7" i="21"/>
  <c r="AK7" i="20"/>
  <c r="AJ6" i="20"/>
  <c r="AI7" i="19"/>
  <c r="AH6" i="19"/>
  <c r="AL7" i="18"/>
  <c r="AK6" i="18"/>
  <c r="AJ26" i="18"/>
  <c r="AJ21" i="18"/>
  <c r="AJ15" i="18"/>
  <c r="AJ9" i="18"/>
  <c r="AJ27" i="18"/>
  <c r="AJ22" i="18"/>
  <c r="AJ20" i="18"/>
  <c r="AJ18" i="18"/>
  <c r="AJ16" i="18"/>
  <c r="AJ14" i="18"/>
  <c r="AJ12" i="18"/>
  <c r="AJ10" i="18"/>
  <c r="AJ8" i="18"/>
  <c r="AJ25" i="18"/>
  <c r="AJ23" i="18"/>
  <c r="AJ19" i="18"/>
  <c r="AJ17" i="18"/>
  <c r="AJ24" i="18"/>
  <c r="AJ13" i="18"/>
  <c r="AJ11" i="18"/>
  <c r="AK7" i="17"/>
  <c r="AJ6" i="17"/>
  <c r="AJ26" i="16"/>
  <c r="AJ22" i="16"/>
  <c r="AJ16" i="16"/>
  <c r="AJ27" i="16"/>
  <c r="AJ23" i="16"/>
  <c r="AJ21" i="16"/>
  <c r="AJ19" i="16"/>
  <c r="AJ17" i="16"/>
  <c r="AJ15" i="16"/>
  <c r="AJ13" i="16"/>
  <c r="AJ11" i="16"/>
  <c r="AJ9" i="16"/>
  <c r="AJ25" i="16"/>
  <c r="AJ24" i="16"/>
  <c r="AJ20" i="16"/>
  <c r="AJ18" i="16"/>
  <c r="AJ14" i="16"/>
  <c r="AJ12" i="16"/>
  <c r="AJ10" i="16"/>
  <c r="AJ8" i="16"/>
  <c r="AK6" i="16"/>
  <c r="AL7" i="16"/>
  <c r="AJ26" i="15"/>
  <c r="AJ22" i="15"/>
  <c r="AJ23" i="15"/>
  <c r="AJ19" i="15"/>
  <c r="AJ17" i="15"/>
  <c r="AJ15" i="15"/>
  <c r="AJ11" i="15"/>
  <c r="AJ25" i="15"/>
  <c r="AJ20" i="15"/>
  <c r="AJ16" i="15"/>
  <c r="AJ12" i="15"/>
  <c r="AJ27" i="15"/>
  <c r="AJ21" i="15"/>
  <c r="AJ13" i="15"/>
  <c r="AJ9" i="15"/>
  <c r="AJ24" i="15"/>
  <c r="AJ18" i="15"/>
  <c r="AJ14" i="15"/>
  <c r="AJ10" i="15"/>
  <c r="AJ8" i="15"/>
  <c r="AK6" i="15"/>
  <c r="AL7" i="15"/>
  <c r="AI7" i="14"/>
  <c r="AH6" i="14"/>
  <c r="AV10" i="24" l="1"/>
  <c r="AX10" i="24"/>
  <c r="AW10" i="24"/>
  <c r="BA10" i="24" s="1"/>
  <c r="BC10" i="24" s="1"/>
  <c r="BD10" i="24" s="1"/>
  <c r="AX13" i="24"/>
  <c r="AV13" i="24"/>
  <c r="AW13" i="24"/>
  <c r="BA13" i="24" s="1"/>
  <c r="BC13" i="24" s="1"/>
  <c r="BD13" i="24" s="1"/>
  <c r="AV21" i="24"/>
  <c r="AX21" i="24"/>
  <c r="AW21" i="24"/>
  <c r="AV12" i="24"/>
  <c r="AW12" i="24"/>
  <c r="AX12" i="24"/>
  <c r="AV25" i="24"/>
  <c r="AW25" i="24"/>
  <c r="AX25" i="24"/>
  <c r="AV15" i="24"/>
  <c r="AX15" i="24"/>
  <c r="AW15" i="24"/>
  <c r="BA15" i="24" s="1"/>
  <c r="BC15" i="24" s="1"/>
  <c r="BD15" i="24" s="1"/>
  <c r="AV23" i="24"/>
  <c r="AX23" i="24"/>
  <c r="AW23" i="24"/>
  <c r="AX18" i="24"/>
  <c r="AV18" i="24"/>
  <c r="AW18" i="24"/>
  <c r="BA18" i="24" s="1"/>
  <c r="BC18" i="24" s="1"/>
  <c r="BD18" i="24" s="1"/>
  <c r="AW16" i="24"/>
  <c r="BA16" i="24" s="1"/>
  <c r="BC16" i="24" s="1"/>
  <c r="BD16" i="24" s="1"/>
  <c r="AV16" i="24"/>
  <c r="AX16" i="24"/>
  <c r="AW9" i="24"/>
  <c r="BA9" i="24" s="1"/>
  <c r="BC9" i="24" s="1"/>
  <c r="BD9" i="24" s="1"/>
  <c r="AX9" i="24"/>
  <c r="AV9" i="24"/>
  <c r="AV17" i="24"/>
  <c r="AX17" i="24"/>
  <c r="AW17" i="24"/>
  <c r="AX27" i="24"/>
  <c r="AV27" i="24"/>
  <c r="AW27" i="24"/>
  <c r="BA27" i="24" s="1"/>
  <c r="BC27" i="24" s="1"/>
  <c r="BD27" i="24" s="1"/>
  <c r="AX22" i="24"/>
  <c r="AV22" i="24"/>
  <c r="AW22" i="24"/>
  <c r="BA22" i="24" s="1"/>
  <c r="BC22" i="24" s="1"/>
  <c r="BD22" i="24" s="1"/>
  <c r="AX24" i="24"/>
  <c r="AW24" i="24"/>
  <c r="AV24" i="24"/>
  <c r="AX14" i="24"/>
  <c r="AW14" i="24"/>
  <c r="BA14" i="24" s="1"/>
  <c r="BC14" i="24" s="1"/>
  <c r="BD14" i="24" s="1"/>
  <c r="AV14" i="24"/>
  <c r="AX20" i="24"/>
  <c r="AW20" i="24"/>
  <c r="AV20" i="24"/>
  <c r="AW11" i="24"/>
  <c r="BA11" i="24" s="1"/>
  <c r="BC11" i="24" s="1"/>
  <c r="BD11" i="24" s="1"/>
  <c r="AV11" i="24"/>
  <c r="AX11" i="24"/>
  <c r="AW19" i="24"/>
  <c r="BA19" i="24" s="1"/>
  <c r="BC19" i="24" s="1"/>
  <c r="BD19" i="24" s="1"/>
  <c r="AV19" i="24"/>
  <c r="AX19" i="24"/>
  <c r="AX8" i="24"/>
  <c r="AW8" i="24"/>
  <c r="BA8" i="24" s="1"/>
  <c r="BC8" i="24" s="1"/>
  <c r="BD8" i="24" s="1"/>
  <c r="AV8" i="24"/>
  <c r="AW26" i="24"/>
  <c r="BA26" i="24" s="1"/>
  <c r="BC26" i="24" s="1"/>
  <c r="BD26" i="24" s="1"/>
  <c r="AV26" i="24"/>
  <c r="AX26" i="24"/>
  <c r="AV9" i="21"/>
  <c r="AW9" i="21"/>
  <c r="AX9" i="21"/>
  <c r="AX27" i="21"/>
  <c r="AV27" i="21"/>
  <c r="AW27" i="21"/>
  <c r="AV11" i="21"/>
  <c r="AW11" i="21"/>
  <c r="BA11" i="21" s="1"/>
  <c r="BC11" i="21" s="1"/>
  <c r="BD11" i="21" s="1"/>
  <c r="AX11" i="21"/>
  <c r="AW24" i="21"/>
  <c r="AX24" i="21"/>
  <c r="AV24" i="21"/>
  <c r="AX18" i="21"/>
  <c r="AV18" i="21"/>
  <c r="AW18" i="21"/>
  <c r="BA18" i="21" s="1"/>
  <c r="BC18" i="21" s="1"/>
  <c r="BD18" i="21" s="1"/>
  <c r="AX13" i="21"/>
  <c r="AV13" i="21"/>
  <c r="AW13" i="21"/>
  <c r="BA13" i="21" s="1"/>
  <c r="BC13" i="21" s="1"/>
  <c r="BD13" i="21" s="1"/>
  <c r="AX21" i="21"/>
  <c r="AV21" i="21"/>
  <c r="AW21" i="21"/>
  <c r="AW14" i="21"/>
  <c r="BA14" i="21" s="1"/>
  <c r="BC14" i="21" s="1"/>
  <c r="BD14" i="21" s="1"/>
  <c r="AV14" i="21"/>
  <c r="AX14" i="21"/>
  <c r="AX25" i="21"/>
  <c r="AW25" i="21"/>
  <c r="AV25" i="21"/>
  <c r="AV8" i="21"/>
  <c r="AW8" i="21"/>
  <c r="BA8" i="21" s="1"/>
  <c r="BC8" i="21" s="1"/>
  <c r="BD8" i="21" s="1"/>
  <c r="AX8" i="21"/>
  <c r="AV17" i="21"/>
  <c r="AW17" i="21"/>
  <c r="BA17" i="21" s="1"/>
  <c r="BC17" i="21" s="1"/>
  <c r="BD17" i="21" s="1"/>
  <c r="AX17" i="21"/>
  <c r="AV20" i="21"/>
  <c r="AW20" i="21"/>
  <c r="BA20" i="21" s="1"/>
  <c r="BC20" i="21" s="1"/>
  <c r="BD20" i="21" s="1"/>
  <c r="AX20" i="21"/>
  <c r="AV12" i="21"/>
  <c r="AW12" i="21"/>
  <c r="BA12" i="21" s="1"/>
  <c r="BC12" i="21" s="1"/>
  <c r="BD12" i="21" s="1"/>
  <c r="AX12" i="21"/>
  <c r="AW19" i="21"/>
  <c r="BA19" i="21" s="1"/>
  <c r="BC19" i="21" s="1"/>
  <c r="BD19" i="21" s="1"/>
  <c r="AX19" i="21"/>
  <c r="AV19" i="21"/>
  <c r="AW10" i="21"/>
  <c r="AX10" i="21"/>
  <c r="AV10" i="21"/>
  <c r="AV22" i="21"/>
  <c r="AX22" i="21"/>
  <c r="AW22" i="21"/>
  <c r="BA22" i="21" s="1"/>
  <c r="BC22" i="21" s="1"/>
  <c r="BD22" i="21" s="1"/>
  <c r="AV15" i="21"/>
  <c r="AW15" i="21"/>
  <c r="BA15" i="21" s="1"/>
  <c r="BC15" i="21" s="1"/>
  <c r="BD15" i="21" s="1"/>
  <c r="AX15" i="21"/>
  <c r="AW23" i="21"/>
  <c r="BA23" i="21" s="1"/>
  <c r="BC23" i="21" s="1"/>
  <c r="BD23" i="21" s="1"/>
  <c r="AX23" i="21"/>
  <c r="AV23" i="21"/>
  <c r="AV16" i="21"/>
  <c r="AW16" i="21"/>
  <c r="BA16" i="21" s="1"/>
  <c r="BC16" i="21" s="1"/>
  <c r="BD16" i="21" s="1"/>
  <c r="AX16" i="21"/>
  <c r="AW26" i="21"/>
  <c r="AV26" i="21"/>
  <c r="AX26" i="21"/>
  <c r="AW13" i="18"/>
  <c r="AX13" i="18"/>
  <c r="AV13" i="18"/>
  <c r="AW23" i="18"/>
  <c r="BA23" i="18" s="1"/>
  <c r="BC23" i="18" s="1"/>
  <c r="BD23" i="18" s="1"/>
  <c r="AX23" i="18"/>
  <c r="AV23" i="18"/>
  <c r="AX24" i="18"/>
  <c r="AW24" i="18"/>
  <c r="BA24" i="18" s="1"/>
  <c r="BC24" i="18" s="1"/>
  <c r="BD24" i="18" s="1"/>
  <c r="AV24" i="18"/>
  <c r="AW25" i="18"/>
  <c r="AV25" i="18"/>
  <c r="AX25" i="18"/>
  <c r="AV14" i="18"/>
  <c r="AW14" i="18"/>
  <c r="AX14" i="18"/>
  <c r="AX22" i="18"/>
  <c r="AV22" i="18"/>
  <c r="AW22" i="18"/>
  <c r="BA22" i="18" s="1"/>
  <c r="BC22" i="18" s="1"/>
  <c r="BD22" i="18" s="1"/>
  <c r="AW21" i="18"/>
  <c r="BA21" i="18" s="1"/>
  <c r="BC21" i="18" s="1"/>
  <c r="BD21" i="18" s="1"/>
  <c r="AV21" i="18"/>
  <c r="AX21" i="18"/>
  <c r="AW11" i="18"/>
  <c r="AX11" i="18"/>
  <c r="AV11" i="18"/>
  <c r="AV19" i="18"/>
  <c r="AX19" i="18"/>
  <c r="AW19" i="18"/>
  <c r="BA19" i="18" s="1"/>
  <c r="BC19" i="18" s="1"/>
  <c r="BD19" i="18" s="1"/>
  <c r="AW10" i="18"/>
  <c r="AX10" i="18"/>
  <c r="AV10" i="18"/>
  <c r="AV18" i="18"/>
  <c r="AW18" i="18"/>
  <c r="BA18" i="18" s="1"/>
  <c r="BC18" i="18" s="1"/>
  <c r="BD18" i="18" s="1"/>
  <c r="AX18" i="18"/>
  <c r="AV9" i="18"/>
  <c r="AX9" i="18"/>
  <c r="AW9" i="18"/>
  <c r="BA9" i="18" s="1"/>
  <c r="BC9" i="18" s="1"/>
  <c r="BD9" i="18" s="1"/>
  <c r="AW12" i="18"/>
  <c r="AV12" i="18"/>
  <c r="AX12" i="18"/>
  <c r="AX20" i="18"/>
  <c r="AW20" i="18"/>
  <c r="BA20" i="18" s="1"/>
  <c r="BC20" i="18" s="1"/>
  <c r="BD20" i="18" s="1"/>
  <c r="AV20" i="18"/>
  <c r="AV15" i="18"/>
  <c r="AW15" i="18"/>
  <c r="BA15" i="18" s="1"/>
  <c r="BC15" i="18" s="1"/>
  <c r="BD15" i="18" s="1"/>
  <c r="AX15" i="18"/>
  <c r="AV17" i="18"/>
  <c r="AW17" i="18"/>
  <c r="AX17" i="18"/>
  <c r="AV8" i="18"/>
  <c r="AX8" i="18"/>
  <c r="AW8" i="18"/>
  <c r="BA8" i="18" s="1"/>
  <c r="BC8" i="18" s="1"/>
  <c r="BD8" i="18" s="1"/>
  <c r="AW16" i="18"/>
  <c r="BA16" i="18" s="1"/>
  <c r="BC16" i="18" s="1"/>
  <c r="BD16" i="18" s="1"/>
  <c r="AV16" i="18"/>
  <c r="AX16" i="18"/>
  <c r="AX27" i="18"/>
  <c r="AW27" i="18"/>
  <c r="BA27" i="18" s="1"/>
  <c r="BC27" i="18" s="1"/>
  <c r="BD27" i="18" s="1"/>
  <c r="AV27" i="18"/>
  <c r="AX26" i="18"/>
  <c r="AV26" i="18"/>
  <c r="AW26" i="18"/>
  <c r="BA26" i="18" s="1"/>
  <c r="BC26" i="18" s="1"/>
  <c r="BD26" i="18" s="1"/>
  <c r="AV25" i="16"/>
  <c r="AX25" i="16"/>
  <c r="AW25" i="16"/>
  <c r="BA25" i="16" s="1"/>
  <c r="BC25" i="16" s="1"/>
  <c r="BD25" i="16" s="1"/>
  <c r="AV23" i="16"/>
  <c r="AW23" i="16"/>
  <c r="AX23" i="16"/>
  <c r="AX8" i="16"/>
  <c r="AV8" i="16"/>
  <c r="AW8" i="16"/>
  <c r="AX18" i="16"/>
  <c r="AV18" i="16"/>
  <c r="AW18" i="16"/>
  <c r="BA18" i="16" s="1"/>
  <c r="BC18" i="16" s="1"/>
  <c r="BD18" i="16" s="1"/>
  <c r="AW9" i="16"/>
  <c r="AX9" i="16"/>
  <c r="AV9" i="16"/>
  <c r="AW17" i="16"/>
  <c r="BA17" i="16" s="1"/>
  <c r="BC17" i="16" s="1"/>
  <c r="BD17" i="16" s="1"/>
  <c r="AV17" i="16"/>
  <c r="AX17" i="16"/>
  <c r="AV27" i="16"/>
  <c r="AX27" i="16"/>
  <c r="AW27" i="16"/>
  <c r="AW12" i="16"/>
  <c r="AV12" i="16"/>
  <c r="AX12" i="16"/>
  <c r="AX24" i="16"/>
  <c r="AW24" i="16"/>
  <c r="AV24" i="16"/>
  <c r="AW13" i="16"/>
  <c r="BA13" i="16" s="1"/>
  <c r="BC13" i="16" s="1"/>
  <c r="BD13" i="16" s="1"/>
  <c r="AV13" i="16"/>
  <c r="AX13" i="16"/>
  <c r="AW21" i="16"/>
  <c r="BA21" i="16" s="1"/>
  <c r="BC21" i="16" s="1"/>
  <c r="BD21" i="16" s="1"/>
  <c r="AV21" i="16"/>
  <c r="AX21" i="16"/>
  <c r="AV22" i="16"/>
  <c r="AX22" i="16"/>
  <c r="AW22" i="16"/>
  <c r="BA22" i="16" s="1"/>
  <c r="BC22" i="16" s="1"/>
  <c r="BD22" i="16" s="1"/>
  <c r="AW14" i="16"/>
  <c r="AV14" i="16"/>
  <c r="AX14" i="16"/>
  <c r="AW15" i="16"/>
  <c r="BA15" i="16" s="1"/>
  <c r="BC15" i="16" s="1"/>
  <c r="BD15" i="16" s="1"/>
  <c r="AX15" i="16"/>
  <c r="AV15" i="16"/>
  <c r="AW26" i="16"/>
  <c r="AX26" i="16"/>
  <c r="AV26" i="16"/>
  <c r="AV10" i="16"/>
  <c r="AW10" i="16"/>
  <c r="BA10" i="16" s="1"/>
  <c r="BC10" i="16" s="1"/>
  <c r="BD10" i="16" s="1"/>
  <c r="AX10" i="16"/>
  <c r="AX20" i="16"/>
  <c r="AW20" i="16"/>
  <c r="BA20" i="16" s="1"/>
  <c r="BC20" i="16" s="1"/>
  <c r="BD20" i="16" s="1"/>
  <c r="AV20" i="16"/>
  <c r="AW11" i="16"/>
  <c r="BA11" i="16" s="1"/>
  <c r="BC11" i="16" s="1"/>
  <c r="BD11" i="16" s="1"/>
  <c r="AV11" i="16"/>
  <c r="AX11" i="16"/>
  <c r="AW19" i="16"/>
  <c r="AV19" i="16"/>
  <c r="AX19" i="16"/>
  <c r="AV16" i="16"/>
  <c r="AW16" i="16"/>
  <c r="BA16" i="16" s="1"/>
  <c r="BC16" i="16" s="1"/>
  <c r="BD16" i="16" s="1"/>
  <c r="AX16" i="16"/>
  <c r="AX8" i="15"/>
  <c r="AW8" i="15"/>
  <c r="BA8" i="15" s="1"/>
  <c r="BC8" i="15" s="1"/>
  <c r="BD8" i="15" s="1"/>
  <c r="AX24" i="15"/>
  <c r="AW24" i="15"/>
  <c r="BA24" i="15" s="1"/>
  <c r="BC24" i="15" s="1"/>
  <c r="BD24" i="15" s="1"/>
  <c r="AX27" i="15"/>
  <c r="AW27" i="15"/>
  <c r="AW25" i="15"/>
  <c r="BA25" i="15" s="1"/>
  <c r="BC25" i="15" s="1"/>
  <c r="BD25" i="15" s="1"/>
  <c r="AX25" i="15"/>
  <c r="AW19" i="15"/>
  <c r="AX19" i="15"/>
  <c r="AX10" i="15"/>
  <c r="AW10" i="15"/>
  <c r="BA10" i="15" s="1"/>
  <c r="BC10" i="15" s="1"/>
  <c r="BD10" i="15" s="1"/>
  <c r="AW9" i="15"/>
  <c r="BA9" i="15" s="1"/>
  <c r="BC9" i="15" s="1"/>
  <c r="BD9" i="15" s="1"/>
  <c r="AX9" i="15"/>
  <c r="AW12" i="15"/>
  <c r="BA12" i="15" s="1"/>
  <c r="BC12" i="15" s="1"/>
  <c r="BD12" i="15" s="1"/>
  <c r="AX12" i="15"/>
  <c r="AX11" i="15"/>
  <c r="AW11" i="15"/>
  <c r="BA11" i="15" s="1"/>
  <c r="BC11" i="15" s="1"/>
  <c r="BD11" i="15" s="1"/>
  <c r="AW23" i="15"/>
  <c r="AX23" i="15"/>
  <c r="AX14" i="15"/>
  <c r="AW14" i="15"/>
  <c r="AX13" i="15"/>
  <c r="AW13" i="15"/>
  <c r="BA13" i="15" s="1"/>
  <c r="BC13" i="15" s="1"/>
  <c r="BD13" i="15" s="1"/>
  <c r="AW16" i="15"/>
  <c r="AX16" i="15"/>
  <c r="AX15" i="15"/>
  <c r="AW15" i="15"/>
  <c r="BA15" i="15" s="1"/>
  <c r="BC15" i="15" s="1"/>
  <c r="BD15" i="15" s="1"/>
  <c r="AX22" i="15"/>
  <c r="AW22" i="15"/>
  <c r="AW18" i="15"/>
  <c r="BA18" i="15" s="1"/>
  <c r="BC18" i="15" s="1"/>
  <c r="BD18" i="15" s="1"/>
  <c r="AX18" i="15"/>
  <c r="AX21" i="15"/>
  <c r="AW21" i="15"/>
  <c r="BA21" i="15" s="1"/>
  <c r="BC21" i="15" s="1"/>
  <c r="BD21" i="15" s="1"/>
  <c r="AX20" i="15"/>
  <c r="AW20" i="15"/>
  <c r="BA20" i="15" s="1"/>
  <c r="BC20" i="15" s="1"/>
  <c r="BD20" i="15" s="1"/>
  <c r="AX17" i="15"/>
  <c r="AW17" i="15"/>
  <c r="AX26" i="15"/>
  <c r="AW26" i="15"/>
  <c r="BA26" i="15" s="1"/>
  <c r="BC26" i="15" s="1"/>
  <c r="BD26" i="15" s="1"/>
  <c r="BA21" i="24"/>
  <c r="BC21" i="24" s="1"/>
  <c r="BD21" i="24" s="1"/>
  <c r="BA25" i="24"/>
  <c r="BC25" i="24" s="1"/>
  <c r="BD25" i="24" s="1"/>
  <c r="BA23" i="24"/>
  <c r="BC23" i="24" s="1"/>
  <c r="BD23" i="24" s="1"/>
  <c r="BA17" i="24"/>
  <c r="BC17" i="24" s="1"/>
  <c r="BD17" i="24" s="1"/>
  <c r="BA24" i="24"/>
  <c r="BC24" i="24" s="1"/>
  <c r="BD24" i="24" s="1"/>
  <c r="BA20" i="24"/>
  <c r="BC20" i="24" s="1"/>
  <c r="BD20" i="24" s="1"/>
  <c r="BA9" i="21"/>
  <c r="BC9" i="21" s="1"/>
  <c r="BD9" i="21" s="1"/>
  <c r="BA27" i="21"/>
  <c r="BC27" i="21" s="1"/>
  <c r="BD27" i="21" s="1"/>
  <c r="BA10" i="21"/>
  <c r="BC10" i="21" s="1"/>
  <c r="BD10" i="21" s="1"/>
  <c r="BA21" i="21"/>
  <c r="BC21" i="21" s="1"/>
  <c r="BD21" i="21" s="1"/>
  <c r="BA25" i="21"/>
  <c r="BC25" i="21" s="1"/>
  <c r="BD25" i="21" s="1"/>
  <c r="BA26" i="21"/>
  <c r="BC26" i="21" s="1"/>
  <c r="BD26" i="21" s="1"/>
  <c r="BA10" i="18"/>
  <c r="BC10" i="18" s="1"/>
  <c r="BD10" i="18" s="1"/>
  <c r="BA13" i="18"/>
  <c r="BC13" i="18" s="1"/>
  <c r="BD13" i="18" s="1"/>
  <c r="BA25" i="18"/>
  <c r="BC25" i="18" s="1"/>
  <c r="BD25" i="18" s="1"/>
  <c r="BA14" i="18"/>
  <c r="BC14" i="18" s="1"/>
  <c r="BD14" i="18" s="1"/>
  <c r="BA17" i="18"/>
  <c r="BC17" i="18" s="1"/>
  <c r="BD17" i="18" s="1"/>
  <c r="BA14" i="16"/>
  <c r="BC14" i="16" s="1"/>
  <c r="BD14" i="16" s="1"/>
  <c r="BA23" i="16"/>
  <c r="BC23" i="16" s="1"/>
  <c r="BD23" i="16" s="1"/>
  <c r="BA24" i="16"/>
  <c r="BC24" i="16" s="1"/>
  <c r="BD24" i="16" s="1"/>
  <c r="BA8" i="16"/>
  <c r="BC8" i="16" s="1"/>
  <c r="BD8" i="16" s="1"/>
  <c r="BA9" i="16"/>
  <c r="BC9" i="16" s="1"/>
  <c r="BD9" i="16" s="1"/>
  <c r="BA19" i="16"/>
  <c r="BC19" i="16" s="1"/>
  <c r="BD19" i="16" s="1"/>
  <c r="AV8" i="15"/>
  <c r="BA19" i="15"/>
  <c r="BC19" i="15" s="1"/>
  <c r="BD19" i="15" s="1"/>
  <c r="BA14" i="15"/>
  <c r="BC14" i="15" s="1"/>
  <c r="BD14" i="15" s="1"/>
  <c r="BA16" i="15"/>
  <c r="BC16" i="15" s="1"/>
  <c r="BD16" i="15" s="1"/>
  <c r="BA22" i="15"/>
  <c r="BC22" i="15" s="1"/>
  <c r="BD22" i="15" s="1"/>
  <c r="BA17" i="15"/>
  <c r="BC17" i="15" s="1"/>
  <c r="BD17" i="15" s="1"/>
  <c r="AI6" i="1"/>
  <c r="AK7" i="23"/>
  <c r="AJ6" i="23"/>
  <c r="AL6" i="24"/>
  <c r="AM7" i="24"/>
  <c r="BA12" i="24"/>
  <c r="BC12" i="24" s="1"/>
  <c r="BD12" i="24" s="1"/>
  <c r="AJ27" i="22"/>
  <c r="AJ26" i="22"/>
  <c r="AJ25" i="22"/>
  <c r="AJ24" i="22"/>
  <c r="AJ20" i="22"/>
  <c r="AJ16" i="22"/>
  <c r="AJ12" i="22"/>
  <c r="AJ8" i="22"/>
  <c r="AJ22" i="22"/>
  <c r="AJ21" i="22"/>
  <c r="AJ17" i="22"/>
  <c r="AJ13" i="22"/>
  <c r="AJ9" i="22"/>
  <c r="AJ18" i="22"/>
  <c r="AJ14" i="22"/>
  <c r="AJ10" i="22"/>
  <c r="AJ23" i="22"/>
  <c r="AJ19" i="22"/>
  <c r="AJ15" i="22"/>
  <c r="AJ11" i="22"/>
  <c r="AK6" i="22"/>
  <c r="AL7" i="22"/>
  <c r="BA24" i="21"/>
  <c r="BC24" i="21" s="1"/>
  <c r="BD24" i="21" s="1"/>
  <c r="AL6" i="21"/>
  <c r="AM7" i="21"/>
  <c r="AJ27" i="20"/>
  <c r="AJ26" i="20"/>
  <c r="AJ22" i="20"/>
  <c r="AJ25" i="20"/>
  <c r="AJ24" i="20"/>
  <c r="AJ23" i="20"/>
  <c r="AJ21" i="20"/>
  <c r="AJ18" i="20"/>
  <c r="AJ14" i="20"/>
  <c r="AJ10" i="20"/>
  <c r="AJ19" i="20"/>
  <c r="AJ15" i="20"/>
  <c r="AJ11" i="20"/>
  <c r="AJ13" i="20"/>
  <c r="AJ20" i="20"/>
  <c r="AJ16" i="20"/>
  <c r="AJ12" i="20"/>
  <c r="AJ8" i="20"/>
  <c r="AJ17" i="20"/>
  <c r="AJ9" i="20"/>
  <c r="AK6" i="20"/>
  <c r="AL7" i="20"/>
  <c r="AI6" i="19"/>
  <c r="AJ7" i="19"/>
  <c r="BA11" i="18"/>
  <c r="BC11" i="18" s="1"/>
  <c r="BD11" i="18" s="1"/>
  <c r="BA12" i="18"/>
  <c r="BC12" i="18" s="1"/>
  <c r="BD12" i="18" s="1"/>
  <c r="AM7" i="18"/>
  <c r="AL6" i="18"/>
  <c r="AJ23" i="17"/>
  <c r="AJ27" i="17"/>
  <c r="AJ26" i="17"/>
  <c r="AJ25" i="17"/>
  <c r="AJ24" i="17"/>
  <c r="AJ17" i="17"/>
  <c r="AJ22" i="17"/>
  <c r="AJ18" i="17"/>
  <c r="AJ14" i="17"/>
  <c r="AJ10" i="17"/>
  <c r="AJ19" i="17"/>
  <c r="AJ15" i="17"/>
  <c r="AJ11" i="17"/>
  <c r="AJ20" i="17"/>
  <c r="AJ16" i="17"/>
  <c r="AJ12" i="17"/>
  <c r="AJ8" i="17"/>
  <c r="AJ21" i="17"/>
  <c r="AJ13" i="17"/>
  <c r="AJ9" i="17"/>
  <c r="AK6" i="17"/>
  <c r="AL7" i="17"/>
  <c r="AL6" i="16"/>
  <c r="AM7" i="16"/>
  <c r="BA26" i="16"/>
  <c r="BC26" i="16" s="1"/>
  <c r="BD26" i="16" s="1"/>
  <c r="BA27" i="16"/>
  <c r="BC27" i="16" s="1"/>
  <c r="BD27" i="16" s="1"/>
  <c r="BA12" i="16"/>
  <c r="BC12" i="16" s="1"/>
  <c r="BD12" i="16" s="1"/>
  <c r="AV25" i="15"/>
  <c r="BA27" i="15"/>
  <c r="BC27" i="15" s="1"/>
  <c r="BD27" i="15" s="1"/>
  <c r="AV24" i="15"/>
  <c r="AV14" i="15"/>
  <c r="AV19" i="15"/>
  <c r="AV13" i="15"/>
  <c r="AV18" i="15"/>
  <c r="AV16" i="15"/>
  <c r="AV11" i="15"/>
  <c r="AV10" i="15"/>
  <c r="AV12" i="15"/>
  <c r="AV26" i="15"/>
  <c r="AV21" i="15"/>
  <c r="AV9" i="15"/>
  <c r="AV27" i="15"/>
  <c r="AV22" i="15"/>
  <c r="AV20" i="15"/>
  <c r="AV15" i="15"/>
  <c r="AV23" i="15"/>
  <c r="BA23" i="15"/>
  <c r="BC23" i="15" s="1"/>
  <c r="BD23" i="15" s="1"/>
  <c r="AV17" i="15"/>
  <c r="AL6" i="15"/>
  <c r="AM7" i="15"/>
  <c r="AJ7" i="14"/>
  <c r="AI6" i="14"/>
  <c r="AW23" i="22" l="1"/>
  <c r="AX23" i="22"/>
  <c r="AV23" i="22"/>
  <c r="AV9" i="22"/>
  <c r="AX9" i="22"/>
  <c r="AW9" i="22"/>
  <c r="AV22" i="22"/>
  <c r="AW22" i="22"/>
  <c r="BA22" i="22" s="1"/>
  <c r="BC22" i="22" s="1"/>
  <c r="BD22" i="22" s="1"/>
  <c r="AX22" i="22"/>
  <c r="AW20" i="22"/>
  <c r="AX20" i="22"/>
  <c r="AV20" i="22"/>
  <c r="AX27" i="22"/>
  <c r="AW27" i="22"/>
  <c r="AV27" i="22"/>
  <c r="AV18" i="22"/>
  <c r="AW18" i="22"/>
  <c r="AX18" i="22"/>
  <c r="AX26" i="22"/>
  <c r="AV26" i="22"/>
  <c r="AW26" i="22"/>
  <c r="AX11" i="22"/>
  <c r="AV11" i="22"/>
  <c r="AW11" i="22"/>
  <c r="BA11" i="22" s="1"/>
  <c r="BC11" i="22" s="1"/>
  <c r="BD11" i="22" s="1"/>
  <c r="AV10" i="22"/>
  <c r="AW10" i="22"/>
  <c r="AX10" i="22"/>
  <c r="AX13" i="22"/>
  <c r="AV13" i="22"/>
  <c r="AW13" i="22"/>
  <c r="AW8" i="22"/>
  <c r="AV8" i="22"/>
  <c r="AX8" i="22"/>
  <c r="AX24" i="22"/>
  <c r="AW24" i="22"/>
  <c r="AV24" i="22"/>
  <c r="AV19" i="22"/>
  <c r="AW19" i="22"/>
  <c r="AX19" i="22"/>
  <c r="AW21" i="22"/>
  <c r="BA21" i="22" s="1"/>
  <c r="BC21" i="22" s="1"/>
  <c r="BD21" i="22" s="1"/>
  <c r="AV21" i="22"/>
  <c r="AX21" i="22"/>
  <c r="AV16" i="22"/>
  <c r="AX16" i="22"/>
  <c r="AW16" i="22"/>
  <c r="AW15" i="22"/>
  <c r="AV15" i="22"/>
  <c r="AX15" i="22"/>
  <c r="AV14" i="22"/>
  <c r="AW14" i="22"/>
  <c r="AX14" i="22"/>
  <c r="AV17" i="22"/>
  <c r="AW17" i="22"/>
  <c r="AX17" i="22"/>
  <c r="AV12" i="22"/>
  <c r="AW12" i="22"/>
  <c r="BA12" i="22" s="1"/>
  <c r="BC12" i="22" s="1"/>
  <c r="BD12" i="22" s="1"/>
  <c r="AX12" i="22"/>
  <c r="AW25" i="22"/>
  <c r="AV25" i="22"/>
  <c r="AX25" i="22"/>
  <c r="AX8" i="20"/>
  <c r="AW24" i="20"/>
  <c r="BA24" i="20" s="1"/>
  <c r="BC24" i="20" s="1"/>
  <c r="BD24" i="20" s="1"/>
  <c r="AV25" i="20"/>
  <c r="AW18" i="20"/>
  <c r="BA18" i="20" s="1"/>
  <c r="BC18" i="20" s="1"/>
  <c r="BD18" i="20" s="1"/>
  <c r="AW9" i="20"/>
  <c r="AX19" i="20"/>
  <c r="AW14" i="20"/>
  <c r="BA14" i="20" s="1"/>
  <c r="BC14" i="20" s="1"/>
  <c r="BD14" i="20" s="1"/>
  <c r="AW19" i="20"/>
  <c r="BA19" i="20" s="1"/>
  <c r="BC19" i="20" s="1"/>
  <c r="BD19" i="20" s="1"/>
  <c r="AX10" i="20"/>
  <c r="AX17" i="20"/>
  <c r="AX21" i="20"/>
  <c r="AV17" i="20"/>
  <c r="AW12" i="20"/>
  <c r="AV11" i="20"/>
  <c r="AW27" i="20"/>
  <c r="BA27" i="20" s="1"/>
  <c r="BC27" i="20" s="1"/>
  <c r="BD27" i="20" s="1"/>
  <c r="AW11" i="20"/>
  <c r="BA11" i="20" s="1"/>
  <c r="BC11" i="20" s="1"/>
  <c r="BD11" i="20" s="1"/>
  <c r="AW8" i="20"/>
  <c r="AX27" i="20"/>
  <c r="AX25" i="20"/>
  <c r="AW15" i="20"/>
  <c r="BA15" i="20" s="1"/>
  <c r="BC15" i="20" s="1"/>
  <c r="BD15" i="20" s="1"/>
  <c r="AX20" i="20"/>
  <c r="AX23" i="20"/>
  <c r="AV22" i="20"/>
  <c r="AW16" i="20"/>
  <c r="BA16" i="20" s="1"/>
  <c r="BC16" i="20" s="1"/>
  <c r="BD16" i="20" s="1"/>
  <c r="AV21" i="20"/>
  <c r="AV16" i="20"/>
  <c r="AV8" i="20"/>
  <c r="AX14" i="20"/>
  <c r="AV10" i="20"/>
  <c r="AX13" i="20"/>
  <c r="AW22" i="20"/>
  <c r="BA22" i="20" s="1"/>
  <c r="BC22" i="20" s="1"/>
  <c r="BD22" i="20" s="1"/>
  <c r="AV23" i="20"/>
  <c r="AW26" i="20"/>
  <c r="AW23" i="20"/>
  <c r="BA23" i="20" s="1"/>
  <c r="BC23" i="20" s="1"/>
  <c r="BD23" i="20" s="1"/>
  <c r="AV26" i="20"/>
  <c r="AW21" i="20"/>
  <c r="BA21" i="20" s="1"/>
  <c r="BC21" i="20" s="1"/>
  <c r="BD21" i="20" s="1"/>
  <c r="AV12" i="20"/>
  <c r="AW20" i="20"/>
  <c r="AV18" i="20"/>
  <c r="AV13" i="20"/>
  <c r="AX18" i="20"/>
  <c r="AV24" i="20"/>
  <c r="AV9" i="20"/>
  <c r="AX24" i="20"/>
  <c r="AV20" i="20"/>
  <c r="AX26" i="20"/>
  <c r="AV14" i="20"/>
  <c r="AW10" i="20"/>
  <c r="BA10" i="20" s="1"/>
  <c r="BC10" i="20" s="1"/>
  <c r="BD10" i="20" s="1"/>
  <c r="AV15" i="20"/>
  <c r="AX12" i="20"/>
  <c r="AX15" i="20"/>
  <c r="AV19" i="20"/>
  <c r="AW17" i="20"/>
  <c r="AX22" i="20"/>
  <c r="AW25" i="20"/>
  <c r="BA25" i="20" s="1"/>
  <c r="BC25" i="20" s="1"/>
  <c r="BD25" i="20" s="1"/>
  <c r="AV27" i="20"/>
  <c r="AX16" i="20"/>
  <c r="AX9" i="20"/>
  <c r="AX11" i="20"/>
  <c r="AW13" i="20"/>
  <c r="BA13" i="20" s="1"/>
  <c r="BC13" i="20" s="1"/>
  <c r="BD13" i="20" s="1"/>
  <c r="AX8" i="17"/>
  <c r="AV8" i="17"/>
  <c r="AW8" i="17"/>
  <c r="BA8" i="17" s="1"/>
  <c r="BC8" i="17" s="1"/>
  <c r="BD8" i="17" s="1"/>
  <c r="AV14" i="17"/>
  <c r="AW14" i="17"/>
  <c r="AX14" i="17"/>
  <c r="AV23" i="17"/>
  <c r="AX23" i="17"/>
  <c r="AW23" i="17"/>
  <c r="AV12" i="17"/>
  <c r="AW12" i="17"/>
  <c r="AX12" i="17"/>
  <c r="AW18" i="17"/>
  <c r="BA18" i="17" s="1"/>
  <c r="BC18" i="17" s="1"/>
  <c r="BD18" i="17" s="1"/>
  <c r="AX18" i="17"/>
  <c r="AV18" i="17"/>
  <c r="AX13" i="17"/>
  <c r="AW13" i="17"/>
  <c r="BA13" i="17" s="1"/>
  <c r="BC13" i="17" s="1"/>
  <c r="BD13" i="17" s="1"/>
  <c r="AV13" i="17"/>
  <c r="AW16" i="17"/>
  <c r="AV16" i="17"/>
  <c r="AX16" i="17"/>
  <c r="AX19" i="17"/>
  <c r="AW19" i="17"/>
  <c r="AV19" i="17"/>
  <c r="AX22" i="17"/>
  <c r="AW22" i="17"/>
  <c r="AV22" i="17"/>
  <c r="AX26" i="17"/>
  <c r="AW26" i="17"/>
  <c r="AV26" i="17"/>
  <c r="AV11" i="17"/>
  <c r="AX11" i="17"/>
  <c r="AW11" i="17"/>
  <c r="BA11" i="17" s="1"/>
  <c r="BC11" i="17" s="1"/>
  <c r="BD11" i="17" s="1"/>
  <c r="AV24" i="17"/>
  <c r="AW24" i="17"/>
  <c r="BA24" i="17" s="1"/>
  <c r="BC24" i="17" s="1"/>
  <c r="BD24" i="17" s="1"/>
  <c r="AX24" i="17"/>
  <c r="AV9" i="17"/>
  <c r="AX9" i="17"/>
  <c r="AW9" i="17"/>
  <c r="BA9" i="17" s="1"/>
  <c r="BC9" i="17" s="1"/>
  <c r="BD9" i="17" s="1"/>
  <c r="AV15" i="17"/>
  <c r="AW15" i="17"/>
  <c r="BA15" i="17" s="1"/>
  <c r="BC15" i="17" s="1"/>
  <c r="BD15" i="17" s="1"/>
  <c r="AX15" i="17"/>
  <c r="AX25" i="17"/>
  <c r="AV25" i="17"/>
  <c r="AW25" i="17"/>
  <c r="BA25" i="17" s="1"/>
  <c r="BC25" i="17" s="1"/>
  <c r="BD25" i="17" s="1"/>
  <c r="AX21" i="17"/>
  <c r="AW21" i="17"/>
  <c r="BA21" i="17" s="1"/>
  <c r="BC21" i="17" s="1"/>
  <c r="BD21" i="17" s="1"/>
  <c r="AV21" i="17"/>
  <c r="AW20" i="17"/>
  <c r="AV20" i="17"/>
  <c r="AX20" i="17"/>
  <c r="AV10" i="17"/>
  <c r="AW10" i="17"/>
  <c r="BA10" i="17" s="1"/>
  <c r="BC10" i="17" s="1"/>
  <c r="BD10" i="17" s="1"/>
  <c r="AX10" i="17"/>
  <c r="AW17" i="17"/>
  <c r="BA17" i="17" s="1"/>
  <c r="BC17" i="17" s="1"/>
  <c r="BD17" i="17" s="1"/>
  <c r="AX17" i="17"/>
  <c r="AV17" i="17"/>
  <c r="AX27" i="17"/>
  <c r="AW27" i="17"/>
  <c r="BA27" i="17" s="1"/>
  <c r="BC27" i="17" s="1"/>
  <c r="BD27" i="17" s="1"/>
  <c r="AV27" i="17"/>
  <c r="BA23" i="22"/>
  <c r="BC23" i="22" s="1"/>
  <c r="BD23" i="22" s="1"/>
  <c r="BA9" i="22"/>
  <c r="BC9" i="22" s="1"/>
  <c r="BD9" i="22" s="1"/>
  <c r="BA20" i="22"/>
  <c r="BC20" i="22" s="1"/>
  <c r="BD20" i="22" s="1"/>
  <c r="BA27" i="22"/>
  <c r="BC27" i="22" s="1"/>
  <c r="BD27" i="22" s="1"/>
  <c r="BA10" i="22"/>
  <c r="BC10" i="22" s="1"/>
  <c r="BD10" i="22" s="1"/>
  <c r="BA13" i="22"/>
  <c r="BC13" i="22" s="1"/>
  <c r="BD13" i="22" s="1"/>
  <c r="BA8" i="22"/>
  <c r="BC8" i="22" s="1"/>
  <c r="BD8" i="22" s="1"/>
  <c r="BA24" i="22"/>
  <c r="BC24" i="22" s="1"/>
  <c r="BD24" i="22" s="1"/>
  <c r="BA15" i="22"/>
  <c r="BC15" i="22" s="1"/>
  <c r="BD15" i="22" s="1"/>
  <c r="BA14" i="22"/>
  <c r="BC14" i="22" s="1"/>
  <c r="BD14" i="22" s="1"/>
  <c r="BA19" i="22"/>
  <c r="BC19" i="22" s="1"/>
  <c r="BD19" i="22" s="1"/>
  <c r="BA16" i="22"/>
  <c r="BC16" i="22" s="1"/>
  <c r="BD16" i="22" s="1"/>
  <c r="BA26" i="22"/>
  <c r="BC26" i="22" s="1"/>
  <c r="BD26" i="22" s="1"/>
  <c r="BA19" i="17"/>
  <c r="BC19" i="17" s="1"/>
  <c r="BD19" i="17" s="1"/>
  <c r="BA22" i="17"/>
  <c r="BC22" i="17" s="1"/>
  <c r="BD22" i="17" s="1"/>
  <c r="BA20" i="17"/>
  <c r="BC20" i="17" s="1"/>
  <c r="BD20" i="17" s="1"/>
  <c r="BA14" i="17"/>
  <c r="BC14" i="17" s="1"/>
  <c r="BD14" i="17" s="1"/>
  <c r="BA12" i="17"/>
  <c r="BC12" i="17" s="1"/>
  <c r="BD12" i="17" s="1"/>
  <c r="AJ6" i="1"/>
  <c r="AJ27" i="23"/>
  <c r="AJ23" i="23"/>
  <c r="AJ11" i="23"/>
  <c r="AJ20" i="23"/>
  <c r="AJ21" i="23"/>
  <c r="AJ26" i="23"/>
  <c r="AJ22" i="23"/>
  <c r="AJ18" i="23"/>
  <c r="AJ16" i="23"/>
  <c r="AJ17" i="23"/>
  <c r="AJ25" i="23"/>
  <c r="AJ19" i="23"/>
  <c r="AJ14" i="23"/>
  <c r="AJ12" i="23"/>
  <c r="AJ13" i="23"/>
  <c r="AJ24" i="23"/>
  <c r="AJ15" i="23"/>
  <c r="AJ10" i="23"/>
  <c r="AJ8" i="23"/>
  <c r="AJ9" i="23"/>
  <c r="AK6" i="23"/>
  <c r="AL7" i="23"/>
  <c r="AM6" i="24"/>
  <c r="AN7" i="24"/>
  <c r="AL6" i="22"/>
  <c r="AM7" i="22"/>
  <c r="BA25" i="22"/>
  <c r="BC25" i="22" s="1"/>
  <c r="BD25" i="22" s="1"/>
  <c r="BA17" i="22"/>
  <c r="BC17" i="22" s="1"/>
  <c r="BD17" i="22" s="1"/>
  <c r="BA18" i="22"/>
  <c r="BC18" i="22" s="1"/>
  <c r="BD18" i="22" s="1"/>
  <c r="AM6" i="21"/>
  <c r="AN7" i="21"/>
  <c r="AL6" i="20"/>
  <c r="AM7" i="20"/>
  <c r="BA12" i="20"/>
  <c r="BC12" i="20" s="1"/>
  <c r="BD12" i="20" s="1"/>
  <c r="BA8" i="20"/>
  <c r="BC8" i="20" s="1"/>
  <c r="BD8" i="20" s="1"/>
  <c r="BA20" i="20"/>
  <c r="BC20" i="20" s="1"/>
  <c r="BD20" i="20" s="1"/>
  <c r="BA9" i="20"/>
  <c r="BC9" i="20" s="1"/>
  <c r="BD9" i="20" s="1"/>
  <c r="BA26" i="20"/>
  <c r="BC26" i="20" s="1"/>
  <c r="BD26" i="20" s="1"/>
  <c r="BA17" i="20"/>
  <c r="BC17" i="20" s="1"/>
  <c r="BD17" i="20" s="1"/>
  <c r="AJ6" i="19"/>
  <c r="AK7" i="19"/>
  <c r="AM6" i="18"/>
  <c r="AN7" i="18"/>
  <c r="AL6" i="17"/>
  <c r="AM7" i="17"/>
  <c r="BA16" i="17"/>
  <c r="BC16" i="17" s="1"/>
  <c r="BD16" i="17" s="1"/>
  <c r="BA23" i="17"/>
  <c r="BC23" i="17" s="1"/>
  <c r="BD23" i="17" s="1"/>
  <c r="BA26" i="17"/>
  <c r="BC26" i="17" s="1"/>
  <c r="BD26" i="17" s="1"/>
  <c r="AM6" i="16"/>
  <c r="AN7" i="16"/>
  <c r="AM6" i="15"/>
  <c r="AN7" i="15"/>
  <c r="AJ6" i="14"/>
  <c r="AK7" i="14"/>
  <c r="AV15" i="23" l="1"/>
  <c r="AX15" i="23"/>
  <c r="AW15" i="23"/>
  <c r="BA15" i="23" s="1"/>
  <c r="BC15" i="23" s="1"/>
  <c r="BD15" i="23" s="1"/>
  <c r="AW14" i="23"/>
  <c r="BA14" i="23" s="1"/>
  <c r="BC14" i="23" s="1"/>
  <c r="BD14" i="23" s="1"/>
  <c r="AV14" i="23"/>
  <c r="AX14" i="23"/>
  <c r="AW16" i="23"/>
  <c r="BA16" i="23" s="1"/>
  <c r="BC16" i="23" s="1"/>
  <c r="BD16" i="23" s="1"/>
  <c r="AV16" i="23"/>
  <c r="AX16" i="23"/>
  <c r="AW21" i="23"/>
  <c r="BA21" i="23" s="1"/>
  <c r="BC21" i="23" s="1"/>
  <c r="BD21" i="23" s="1"/>
  <c r="AV21" i="23"/>
  <c r="AX21" i="23"/>
  <c r="AV27" i="23"/>
  <c r="AX27" i="23"/>
  <c r="AW27" i="23"/>
  <c r="AW9" i="23"/>
  <c r="BA9" i="23" s="1"/>
  <c r="BC9" i="23" s="1"/>
  <c r="BD9" i="23" s="1"/>
  <c r="AV9" i="23"/>
  <c r="AX9" i="23"/>
  <c r="AV24" i="23"/>
  <c r="AX24" i="23"/>
  <c r="AW24" i="23"/>
  <c r="AW19" i="23"/>
  <c r="AV19" i="23"/>
  <c r="AX19" i="23"/>
  <c r="AX18" i="23"/>
  <c r="AW18" i="23"/>
  <c r="BA18" i="23" s="1"/>
  <c r="BC18" i="23" s="1"/>
  <c r="BD18" i="23" s="1"/>
  <c r="AV18" i="23"/>
  <c r="AW20" i="23"/>
  <c r="BA20" i="23" s="1"/>
  <c r="BC20" i="23" s="1"/>
  <c r="BD20" i="23" s="1"/>
  <c r="AV20" i="23"/>
  <c r="AX20" i="23"/>
  <c r="AX8" i="23"/>
  <c r="AW8" i="23"/>
  <c r="BA8" i="23" s="1"/>
  <c r="BC8" i="23" s="1"/>
  <c r="BD8" i="23" s="1"/>
  <c r="AV8" i="23"/>
  <c r="AV13" i="23"/>
  <c r="AX13" i="23"/>
  <c r="AW13" i="23"/>
  <c r="BA13" i="23" s="1"/>
  <c r="BC13" i="23" s="1"/>
  <c r="BD13" i="23" s="1"/>
  <c r="AX25" i="23"/>
  <c r="AW25" i="23"/>
  <c r="AV25" i="23"/>
  <c r="AV22" i="23"/>
  <c r="AX22" i="23"/>
  <c r="AW22" i="23"/>
  <c r="AW11" i="23"/>
  <c r="BA11" i="23" s="1"/>
  <c r="BC11" i="23" s="1"/>
  <c r="BD11" i="23" s="1"/>
  <c r="AV11" i="23"/>
  <c r="AX11" i="23"/>
  <c r="AW10" i="23"/>
  <c r="AV10" i="23"/>
  <c r="AX10" i="23"/>
  <c r="AV12" i="23"/>
  <c r="AX12" i="23"/>
  <c r="AW12" i="23"/>
  <c r="BA12" i="23" s="1"/>
  <c r="BC12" i="23" s="1"/>
  <c r="BD12" i="23" s="1"/>
  <c r="AW17" i="23"/>
  <c r="BA17" i="23" s="1"/>
  <c r="BC17" i="23" s="1"/>
  <c r="BD17" i="23" s="1"/>
  <c r="AV17" i="23"/>
  <c r="AX17" i="23"/>
  <c r="AX26" i="23"/>
  <c r="AW26" i="23"/>
  <c r="BA26" i="23" s="1"/>
  <c r="BC26" i="23" s="1"/>
  <c r="BD26" i="23" s="1"/>
  <c r="AV26" i="23"/>
  <c r="AW23" i="23"/>
  <c r="BA23" i="23" s="1"/>
  <c r="BC23" i="23" s="1"/>
  <c r="BD23" i="23" s="1"/>
  <c r="AV23" i="23"/>
  <c r="AX23" i="23"/>
  <c r="BA10" i="23"/>
  <c r="BC10" i="23" s="1"/>
  <c r="BD10" i="23" s="1"/>
  <c r="BA27" i="23"/>
  <c r="BC27" i="23" s="1"/>
  <c r="BD27" i="23" s="1"/>
  <c r="BA24" i="23"/>
  <c r="BC24" i="23" s="1"/>
  <c r="BD24" i="23" s="1"/>
  <c r="BA22" i="23"/>
  <c r="BC22" i="23" s="1"/>
  <c r="BD22" i="23" s="1"/>
  <c r="AK6" i="1"/>
  <c r="AJ8" i="1"/>
  <c r="AJ12" i="1"/>
  <c r="AJ16" i="1"/>
  <c r="AJ20" i="1"/>
  <c r="AJ24" i="1"/>
  <c r="AJ13" i="1"/>
  <c r="AJ25" i="1"/>
  <c r="AJ10" i="1"/>
  <c r="AJ14" i="1"/>
  <c r="AJ18" i="1"/>
  <c r="AJ22" i="1"/>
  <c r="AJ26" i="1"/>
  <c r="AJ21" i="1"/>
  <c r="AJ11" i="1"/>
  <c r="AJ15" i="1"/>
  <c r="AJ19" i="1"/>
  <c r="AJ23" i="1"/>
  <c r="AJ27" i="1"/>
  <c r="AJ9" i="1"/>
  <c r="AJ17" i="1"/>
  <c r="BA25" i="23"/>
  <c r="BC25" i="23" s="1"/>
  <c r="BD25" i="23" s="1"/>
  <c r="BA19" i="23"/>
  <c r="BC19" i="23" s="1"/>
  <c r="BD19" i="23" s="1"/>
  <c r="AL6" i="23"/>
  <c r="AM7" i="23"/>
  <c r="AO7" i="24"/>
  <c r="AO6" i="24" s="1"/>
  <c r="AN6" i="24"/>
  <c r="AM6" i="22"/>
  <c r="AN7" i="22"/>
  <c r="AO7" i="21"/>
  <c r="AO6" i="21" s="1"/>
  <c r="AN6" i="21"/>
  <c r="AM6" i="20"/>
  <c r="AN7" i="20"/>
  <c r="AK6" i="19"/>
  <c r="AL7" i="19"/>
  <c r="AJ27" i="19"/>
  <c r="AJ26" i="19"/>
  <c r="AJ25" i="19"/>
  <c r="AJ24" i="19"/>
  <c r="AJ23" i="19"/>
  <c r="AJ22" i="19"/>
  <c r="AJ21" i="19"/>
  <c r="AJ20" i="19"/>
  <c r="AJ19" i="19"/>
  <c r="AJ18" i="19"/>
  <c r="AJ17" i="19"/>
  <c r="AJ16" i="19"/>
  <c r="AJ15" i="19"/>
  <c r="AJ14" i="19"/>
  <c r="AJ13" i="19"/>
  <c r="AJ12" i="19"/>
  <c r="AJ11" i="19"/>
  <c r="AJ10" i="19"/>
  <c r="AJ9" i="19"/>
  <c r="AJ8" i="19"/>
  <c r="AO7" i="18"/>
  <c r="AO6" i="18" s="1"/>
  <c r="AN6" i="18"/>
  <c r="AM6" i="17"/>
  <c r="AN7" i="17"/>
  <c r="AO7" i="16"/>
  <c r="AO6" i="16" s="1"/>
  <c r="AN6" i="16"/>
  <c r="AO7" i="15"/>
  <c r="AO6" i="15" s="1"/>
  <c r="AN6" i="15"/>
  <c r="AK6" i="14"/>
  <c r="AL7" i="14"/>
  <c r="AJ27" i="14"/>
  <c r="AJ26" i="14"/>
  <c r="AJ25" i="14"/>
  <c r="AJ24" i="14"/>
  <c r="AJ23" i="14"/>
  <c r="AJ22" i="14"/>
  <c r="AJ21" i="14"/>
  <c r="AJ20" i="14"/>
  <c r="AJ19" i="14"/>
  <c r="AJ18" i="14"/>
  <c r="AJ17" i="14"/>
  <c r="AJ16" i="14"/>
  <c r="AJ15" i="14"/>
  <c r="AJ14" i="14"/>
  <c r="AJ13" i="14"/>
  <c r="AJ12" i="14"/>
  <c r="AJ11" i="14"/>
  <c r="AJ10" i="14"/>
  <c r="AJ9" i="14"/>
  <c r="AJ8" i="14"/>
  <c r="AX10" i="19" l="1"/>
  <c r="AV10" i="19"/>
  <c r="AW10" i="19"/>
  <c r="BA10" i="19" s="1"/>
  <c r="BC10" i="19" s="1"/>
  <c r="BD10" i="19" s="1"/>
  <c r="AW14" i="19"/>
  <c r="BA14" i="19" s="1"/>
  <c r="BC14" i="19" s="1"/>
  <c r="BD14" i="19" s="1"/>
  <c r="AX14" i="19"/>
  <c r="AV14" i="19"/>
  <c r="AX18" i="19"/>
  <c r="AW18" i="19"/>
  <c r="BA18" i="19" s="1"/>
  <c r="BC18" i="19" s="1"/>
  <c r="BD18" i="19" s="1"/>
  <c r="AV18" i="19"/>
  <c r="AX22" i="19"/>
  <c r="AV22" i="19"/>
  <c r="AW22" i="19"/>
  <c r="BA22" i="19" s="1"/>
  <c r="BC22" i="19" s="1"/>
  <c r="BD22" i="19" s="1"/>
  <c r="AX26" i="19"/>
  <c r="AV26" i="19"/>
  <c r="AW26" i="19"/>
  <c r="BA26" i="19" s="1"/>
  <c r="BC26" i="19" s="1"/>
  <c r="BD26" i="19" s="1"/>
  <c r="AW11" i="19"/>
  <c r="BA11" i="19" s="1"/>
  <c r="BC11" i="19" s="1"/>
  <c r="BD11" i="19" s="1"/>
  <c r="AX11" i="19"/>
  <c r="AV11" i="19"/>
  <c r="AW15" i="19"/>
  <c r="AV15" i="19"/>
  <c r="AX15" i="19"/>
  <c r="AV19" i="19"/>
  <c r="AW19" i="19"/>
  <c r="BA19" i="19" s="1"/>
  <c r="BC19" i="19" s="1"/>
  <c r="BD19" i="19" s="1"/>
  <c r="AX19" i="19"/>
  <c r="AW23" i="19"/>
  <c r="AV23" i="19"/>
  <c r="AX23" i="19"/>
  <c r="AX27" i="19"/>
  <c r="AW27" i="19"/>
  <c r="AV27" i="19"/>
  <c r="AX8" i="19"/>
  <c r="AV8" i="19"/>
  <c r="AW8" i="19"/>
  <c r="BA8" i="19" s="1"/>
  <c r="BC8" i="19" s="1"/>
  <c r="BD8" i="19" s="1"/>
  <c r="AV12" i="19"/>
  <c r="AW12" i="19"/>
  <c r="BA12" i="19" s="1"/>
  <c r="BC12" i="19" s="1"/>
  <c r="BD12" i="19" s="1"/>
  <c r="AX12" i="19"/>
  <c r="AW16" i="19"/>
  <c r="AV16" i="19"/>
  <c r="AX16" i="19"/>
  <c r="AX20" i="19"/>
  <c r="AV20" i="19"/>
  <c r="AW20" i="19"/>
  <c r="BA20" i="19" s="1"/>
  <c r="BC20" i="19" s="1"/>
  <c r="BD20" i="19" s="1"/>
  <c r="AW24" i="19"/>
  <c r="BA24" i="19" s="1"/>
  <c r="BC24" i="19" s="1"/>
  <c r="BD24" i="19" s="1"/>
  <c r="AV24" i="19"/>
  <c r="AX24" i="19"/>
  <c r="AV9" i="19"/>
  <c r="AW9" i="19"/>
  <c r="BA9" i="19" s="1"/>
  <c r="BC9" i="19" s="1"/>
  <c r="BD9" i="19" s="1"/>
  <c r="AX9" i="19"/>
  <c r="AW13" i="19"/>
  <c r="AV13" i="19"/>
  <c r="AX13" i="19"/>
  <c r="AW17" i="19"/>
  <c r="BA17" i="19" s="1"/>
  <c r="BC17" i="19" s="1"/>
  <c r="BD17" i="19" s="1"/>
  <c r="AV17" i="19"/>
  <c r="AX17" i="19"/>
  <c r="AW21" i="19"/>
  <c r="BA21" i="19" s="1"/>
  <c r="BC21" i="19" s="1"/>
  <c r="BD21" i="19" s="1"/>
  <c r="AV21" i="19"/>
  <c r="AX21" i="19"/>
  <c r="AW25" i="19"/>
  <c r="AX25" i="19"/>
  <c r="AV25" i="19"/>
  <c r="AX14" i="14"/>
  <c r="AV14" i="14"/>
  <c r="AW14" i="14"/>
  <c r="AX18" i="14"/>
  <c r="AV18" i="14"/>
  <c r="AW18" i="14"/>
  <c r="AV22" i="14"/>
  <c r="AW22" i="14"/>
  <c r="BA22" i="14" s="1"/>
  <c r="BC22" i="14" s="1"/>
  <c r="BD22" i="14" s="1"/>
  <c r="AX22" i="14"/>
  <c r="AX26" i="14"/>
  <c r="AW26" i="14"/>
  <c r="AV26" i="14"/>
  <c r="AX8" i="14"/>
  <c r="AW8" i="14"/>
  <c r="BA8" i="14" s="1"/>
  <c r="BC8" i="14" s="1"/>
  <c r="BD8" i="14" s="1"/>
  <c r="AV8" i="14"/>
  <c r="AV12" i="14"/>
  <c r="AW12" i="14"/>
  <c r="AX12" i="14"/>
  <c r="AX16" i="14"/>
  <c r="AV16" i="14"/>
  <c r="AW16" i="14"/>
  <c r="AV20" i="14"/>
  <c r="AW20" i="14"/>
  <c r="AX20" i="14"/>
  <c r="AW24" i="14"/>
  <c r="AX24" i="14"/>
  <c r="AV24" i="14"/>
  <c r="AV9" i="14"/>
  <c r="AX9" i="14"/>
  <c r="AW9" i="14"/>
  <c r="AV13" i="14"/>
  <c r="AW13" i="14"/>
  <c r="BA13" i="14" s="1"/>
  <c r="BC13" i="14" s="1"/>
  <c r="BD13" i="14" s="1"/>
  <c r="AX13" i="14"/>
  <c r="AW17" i="14"/>
  <c r="AV17" i="14"/>
  <c r="AX17" i="14"/>
  <c r="AX21" i="14"/>
  <c r="AW21" i="14"/>
  <c r="AV21" i="14"/>
  <c r="AX25" i="14"/>
  <c r="AW25" i="14"/>
  <c r="AV25" i="14"/>
  <c r="AX10" i="14"/>
  <c r="AW10" i="14"/>
  <c r="BA10" i="14" s="1"/>
  <c r="BC10" i="14" s="1"/>
  <c r="BD10" i="14" s="1"/>
  <c r="AV10" i="14"/>
  <c r="AV11" i="14"/>
  <c r="AX11" i="14"/>
  <c r="AW11" i="14"/>
  <c r="BA11" i="14" s="1"/>
  <c r="BC11" i="14" s="1"/>
  <c r="BD11" i="14" s="1"/>
  <c r="AW15" i="14"/>
  <c r="AX15" i="14"/>
  <c r="AV15" i="14"/>
  <c r="AX19" i="14"/>
  <c r="AV19" i="14"/>
  <c r="AW19" i="14"/>
  <c r="AX23" i="14"/>
  <c r="AV23" i="14"/>
  <c r="AW23" i="14"/>
  <c r="AW27" i="14"/>
  <c r="BA27" i="14" s="1"/>
  <c r="BC27" i="14" s="1"/>
  <c r="BD27" i="14" s="1"/>
  <c r="AX27" i="14"/>
  <c r="AV27" i="14"/>
  <c r="AX17" i="1"/>
  <c r="AW17" i="1"/>
  <c r="AV17" i="1"/>
  <c r="AW19" i="1"/>
  <c r="BA19" i="1" s="1"/>
  <c r="AV19" i="1"/>
  <c r="AX19" i="1"/>
  <c r="AW26" i="1"/>
  <c r="BA26" i="1" s="1"/>
  <c r="AV26" i="1"/>
  <c r="AX26" i="1"/>
  <c r="AW10" i="1"/>
  <c r="AX10" i="1"/>
  <c r="AV10" i="1"/>
  <c r="AX20" i="1"/>
  <c r="AW20" i="1"/>
  <c r="AV20" i="1"/>
  <c r="AX9" i="1"/>
  <c r="AV9" i="1"/>
  <c r="AW9" i="1"/>
  <c r="BA9" i="1" s="1"/>
  <c r="AW15" i="1"/>
  <c r="BA15" i="1" s="1"/>
  <c r="AX15" i="1"/>
  <c r="AV15" i="1"/>
  <c r="AV27" i="1"/>
  <c r="AX27" i="1"/>
  <c r="AW27" i="1"/>
  <c r="BA27" i="1" s="1"/>
  <c r="AX11" i="1"/>
  <c r="AW11" i="1"/>
  <c r="AV11" i="1"/>
  <c r="AX18" i="1"/>
  <c r="AW18" i="1"/>
  <c r="BA18" i="1" s="1"/>
  <c r="AV18" i="1"/>
  <c r="AW13" i="1"/>
  <c r="AV13" i="1"/>
  <c r="AX13" i="1"/>
  <c r="AV12" i="1"/>
  <c r="AX12" i="1"/>
  <c r="AW12" i="1"/>
  <c r="BA12" i="1" s="1"/>
  <c r="AW22" i="1"/>
  <c r="BA22" i="1" s="1"/>
  <c r="AX22" i="1"/>
  <c r="AV22" i="1"/>
  <c r="AV25" i="1"/>
  <c r="AW25" i="1"/>
  <c r="BA25" i="1" s="1"/>
  <c r="AX25" i="1"/>
  <c r="AX16" i="1"/>
  <c r="AW16" i="1"/>
  <c r="BA16" i="1" s="1"/>
  <c r="AV16" i="1"/>
  <c r="AV23" i="1"/>
  <c r="AW23" i="1"/>
  <c r="AX23" i="1"/>
  <c r="AX21" i="1"/>
  <c r="AW21" i="1"/>
  <c r="BA21" i="1" s="1"/>
  <c r="AV21" i="1"/>
  <c r="AV14" i="1"/>
  <c r="AX14" i="1"/>
  <c r="AW14" i="1"/>
  <c r="BA14" i="1" s="1"/>
  <c r="AV24" i="1"/>
  <c r="AW24" i="1"/>
  <c r="BA24" i="1" s="1"/>
  <c r="AX24" i="1"/>
  <c r="AV8" i="1"/>
  <c r="AX8" i="1"/>
  <c r="AW8" i="1"/>
  <c r="BA8" i="1" s="1"/>
  <c r="BA27" i="19"/>
  <c r="BC27" i="19" s="1"/>
  <c r="BD27" i="19" s="1"/>
  <c r="BA16" i="19"/>
  <c r="BC16" i="19" s="1"/>
  <c r="BD16" i="19" s="1"/>
  <c r="BA15" i="19"/>
  <c r="BC15" i="19" s="1"/>
  <c r="BD15" i="19" s="1"/>
  <c r="BA23" i="19"/>
  <c r="BC23" i="19" s="1"/>
  <c r="BD23" i="19" s="1"/>
  <c r="BA25" i="19"/>
  <c r="BC25" i="19" s="1"/>
  <c r="BD25" i="19" s="1"/>
  <c r="BA10" i="1"/>
  <c r="BA13" i="1"/>
  <c r="BA23" i="1"/>
  <c r="BA17" i="1"/>
  <c r="BA11" i="1"/>
  <c r="BA20" i="1"/>
  <c r="AL6" i="1"/>
  <c r="AM6" i="23"/>
  <c r="AN7" i="23"/>
  <c r="J15" i="24"/>
  <c r="J25" i="24"/>
  <c r="J18" i="24"/>
  <c r="J20" i="24"/>
  <c r="J11" i="24"/>
  <c r="J14" i="24"/>
  <c r="J8" i="24"/>
  <c r="J9" i="24"/>
  <c r="J19" i="24"/>
  <c r="J26" i="24"/>
  <c r="J21" i="24"/>
  <c r="J13" i="24"/>
  <c r="J27" i="24"/>
  <c r="J10" i="24"/>
  <c r="J22" i="24"/>
  <c r="J12" i="24"/>
  <c r="J24" i="24"/>
  <c r="J16" i="24"/>
  <c r="J23" i="24"/>
  <c r="J17" i="24"/>
  <c r="AO7" i="22"/>
  <c r="AO6" i="22" s="1"/>
  <c r="AN6" i="22"/>
  <c r="J18" i="21"/>
  <c r="J17" i="21"/>
  <c r="J14" i="21"/>
  <c r="J19" i="21"/>
  <c r="J26" i="21"/>
  <c r="J25" i="21"/>
  <c r="J13" i="21"/>
  <c r="J8" i="21"/>
  <c r="J9" i="21"/>
  <c r="J23" i="21"/>
  <c r="J12" i="21"/>
  <c r="J11" i="21"/>
  <c r="J16" i="21"/>
  <c r="J15" i="21"/>
  <c r="J22" i="21"/>
  <c r="J20" i="21"/>
  <c r="J24" i="21"/>
  <c r="J21" i="21"/>
  <c r="J27" i="21"/>
  <c r="J10" i="21"/>
  <c r="AO7" i="20"/>
  <c r="AO6" i="20" s="1"/>
  <c r="AN6" i="20"/>
  <c r="BA13" i="19"/>
  <c r="BC13" i="19" s="1"/>
  <c r="BD13" i="19" s="1"/>
  <c r="AM7" i="19"/>
  <c r="AL6" i="19"/>
  <c r="J26" i="18"/>
  <c r="J22" i="18"/>
  <c r="J24" i="18"/>
  <c r="J10" i="18"/>
  <c r="J13" i="18"/>
  <c r="J14" i="18"/>
  <c r="J19" i="18"/>
  <c r="J11" i="18"/>
  <c r="J23" i="18"/>
  <c r="J25" i="18"/>
  <c r="J17" i="18"/>
  <c r="J20" i="18"/>
  <c r="J18" i="18"/>
  <c r="J9" i="18"/>
  <c r="J12" i="18"/>
  <c r="J27" i="18"/>
  <c r="J16" i="18"/>
  <c r="J8" i="18"/>
  <c r="J21" i="18"/>
  <c r="J15" i="18"/>
  <c r="AO7" i="17"/>
  <c r="AO6" i="17" s="1"/>
  <c r="AN6" i="17"/>
  <c r="J16" i="16"/>
  <c r="J8" i="16"/>
  <c r="J23" i="16"/>
  <c r="J15" i="16"/>
  <c r="J27" i="16"/>
  <c r="J10" i="16"/>
  <c r="J25" i="16"/>
  <c r="J13" i="16"/>
  <c r="J18" i="16"/>
  <c r="J21" i="16"/>
  <c r="J14" i="16"/>
  <c r="J9" i="16"/>
  <c r="J17" i="16"/>
  <c r="J20" i="16"/>
  <c r="J11" i="16"/>
  <c r="J19" i="16"/>
  <c r="J26" i="16"/>
  <c r="J22" i="16"/>
  <c r="J24" i="16"/>
  <c r="J12" i="16"/>
  <c r="J9" i="15"/>
  <c r="J13" i="15"/>
  <c r="J8" i="15"/>
  <c r="J27" i="15"/>
  <c r="J21" i="15"/>
  <c r="J22" i="15"/>
  <c r="J20" i="15"/>
  <c r="J18" i="15"/>
  <c r="J23" i="15"/>
  <c r="J19" i="15"/>
  <c r="J25" i="15"/>
  <c r="J11" i="15"/>
  <c r="J16" i="15"/>
  <c r="J26" i="15"/>
  <c r="J24" i="15"/>
  <c r="J10" i="15"/>
  <c r="J12" i="15"/>
  <c r="J14" i="15"/>
  <c r="J15" i="15"/>
  <c r="J17" i="15"/>
  <c r="BA26" i="14"/>
  <c r="BC26" i="14" s="1"/>
  <c r="BD26" i="14" s="1"/>
  <c r="BA23" i="14"/>
  <c r="BC23" i="14" s="1"/>
  <c r="BD23" i="14" s="1"/>
  <c r="BA15" i="14"/>
  <c r="BC15" i="14" s="1"/>
  <c r="BD15" i="14" s="1"/>
  <c r="BA18" i="14"/>
  <c r="BC18" i="14" s="1"/>
  <c r="BD18" i="14" s="1"/>
  <c r="BA20" i="14"/>
  <c r="BC20" i="14" s="1"/>
  <c r="BD20" i="14" s="1"/>
  <c r="BA24" i="14"/>
  <c r="BC24" i="14" s="1"/>
  <c r="BD24" i="14" s="1"/>
  <c r="BA9" i="14"/>
  <c r="BC9" i="14" s="1"/>
  <c r="BD9" i="14" s="1"/>
  <c r="BA14" i="14"/>
  <c r="BC14" i="14" s="1"/>
  <c r="BD14" i="14" s="1"/>
  <c r="BA25" i="14"/>
  <c r="BC25" i="14" s="1"/>
  <c r="BD25" i="14" s="1"/>
  <c r="BA19" i="14"/>
  <c r="BC19" i="14" s="1"/>
  <c r="BD19" i="14" s="1"/>
  <c r="BA12" i="14"/>
  <c r="BC12" i="14" s="1"/>
  <c r="BD12" i="14" s="1"/>
  <c r="BA17" i="14"/>
  <c r="BC17" i="14" s="1"/>
  <c r="BD17" i="14" s="1"/>
  <c r="BA21" i="14"/>
  <c r="BC21" i="14" s="1"/>
  <c r="BD21" i="14" s="1"/>
  <c r="BA16" i="14"/>
  <c r="BC16" i="14" s="1"/>
  <c r="BD16" i="14" s="1"/>
  <c r="AL6" i="14"/>
  <c r="AM6" i="1" l="1"/>
  <c r="AO7" i="23"/>
  <c r="AO6" i="23" s="1"/>
  <c r="AN6" i="23"/>
  <c r="AY27" i="24"/>
  <c r="AY26" i="24"/>
  <c r="AY23" i="24"/>
  <c r="AY21" i="24"/>
  <c r="AY19" i="24"/>
  <c r="AY17" i="24"/>
  <c r="AY15" i="24"/>
  <c r="AY13" i="24"/>
  <c r="AY24" i="24"/>
  <c r="AY22" i="24"/>
  <c r="AY20" i="24"/>
  <c r="AY18" i="24"/>
  <c r="AY16" i="24"/>
  <c r="AY14" i="24"/>
  <c r="AY12" i="24"/>
  <c r="AY10" i="24"/>
  <c r="AY8" i="24"/>
  <c r="AY11" i="24"/>
  <c r="AY9" i="24"/>
  <c r="AY25" i="24"/>
  <c r="J26" i="22"/>
  <c r="J27" i="22"/>
  <c r="J15" i="22"/>
  <c r="J13" i="22"/>
  <c r="J25" i="22"/>
  <c r="J24" i="22"/>
  <c r="J18" i="22"/>
  <c r="J21" i="22"/>
  <c r="J17" i="22"/>
  <c r="J19" i="22"/>
  <c r="J10" i="22"/>
  <c r="J11" i="22"/>
  <c r="J20" i="22"/>
  <c r="J9" i="22"/>
  <c r="J14" i="22"/>
  <c r="J16" i="22"/>
  <c r="J12" i="22"/>
  <c r="J23" i="22"/>
  <c r="J22" i="22"/>
  <c r="J8" i="22"/>
  <c r="AY27" i="21"/>
  <c r="AY25" i="21"/>
  <c r="AY19" i="21"/>
  <c r="AY15" i="21"/>
  <c r="AY13" i="21"/>
  <c r="AY9" i="21"/>
  <c r="AY24" i="21"/>
  <c r="AY22" i="21"/>
  <c r="AY20" i="21"/>
  <c r="AY18" i="21"/>
  <c r="AY16" i="21"/>
  <c r="AY14" i="21"/>
  <c r="AY12" i="21"/>
  <c r="AY10" i="21"/>
  <c r="AY8" i="21"/>
  <c r="AY26" i="21"/>
  <c r="AY23" i="21"/>
  <c r="AY21" i="21"/>
  <c r="AY17" i="21"/>
  <c r="AY11" i="21"/>
  <c r="J27" i="20"/>
  <c r="J21" i="20"/>
  <c r="J15" i="20"/>
  <c r="J14" i="20"/>
  <c r="J12" i="20"/>
  <c r="J13" i="20"/>
  <c r="J26" i="20"/>
  <c r="J8" i="20"/>
  <c r="J10" i="20"/>
  <c r="J18" i="20"/>
  <c r="J23" i="20"/>
  <c r="J22" i="20"/>
  <c r="J24" i="20"/>
  <c r="J25" i="20"/>
  <c r="J16" i="20"/>
  <c r="J9" i="20"/>
  <c r="J17" i="20"/>
  <c r="J11" i="20"/>
  <c r="J19" i="20"/>
  <c r="J20" i="20"/>
  <c r="AN7" i="19"/>
  <c r="AM6" i="19"/>
  <c r="AY27" i="18"/>
  <c r="AY22" i="18"/>
  <c r="AY20" i="18"/>
  <c r="AY14" i="18"/>
  <c r="AY24" i="18"/>
  <c r="AY23" i="18"/>
  <c r="AY21" i="18"/>
  <c r="AY19" i="18"/>
  <c r="AY17" i="18"/>
  <c r="AY15" i="18"/>
  <c r="AY13" i="18"/>
  <c r="AY11" i="18"/>
  <c r="AY9" i="18"/>
  <c r="AY26" i="18"/>
  <c r="AY18" i="18"/>
  <c r="AY16" i="18"/>
  <c r="AY12" i="18"/>
  <c r="AY8" i="18"/>
  <c r="AY25" i="18"/>
  <c r="AY10" i="18"/>
  <c r="J8" i="17"/>
  <c r="J25" i="17"/>
  <c r="J13" i="17"/>
  <c r="J14" i="17"/>
  <c r="J19" i="17"/>
  <c r="J27" i="17"/>
  <c r="J23" i="17"/>
  <c r="J15" i="17"/>
  <c r="J21" i="17"/>
  <c r="J26" i="17"/>
  <c r="J20" i="17"/>
  <c r="J12" i="17"/>
  <c r="J17" i="17"/>
  <c r="J18" i="17"/>
  <c r="J16" i="17"/>
  <c r="J22" i="17"/>
  <c r="J24" i="17"/>
  <c r="J11" i="17"/>
  <c r="J10" i="17"/>
  <c r="J9" i="17"/>
  <c r="AY27" i="16"/>
  <c r="AY26" i="16"/>
  <c r="AY23" i="16"/>
  <c r="AY21" i="16"/>
  <c r="AY11" i="16"/>
  <c r="AY24" i="16"/>
  <c r="AY22" i="16"/>
  <c r="AY20" i="16"/>
  <c r="AY18" i="16"/>
  <c r="AY16" i="16"/>
  <c r="AY14" i="16"/>
  <c r="AY12" i="16"/>
  <c r="AY10" i="16"/>
  <c r="AY8" i="16"/>
  <c r="AY25" i="16"/>
  <c r="AY19" i="16"/>
  <c r="AY17" i="16"/>
  <c r="AY15" i="16"/>
  <c r="AY13" i="16"/>
  <c r="AY9" i="16"/>
  <c r="AY27" i="15"/>
  <c r="AY23" i="15"/>
  <c r="AY24" i="15"/>
  <c r="AY18" i="15"/>
  <c r="AY16" i="15"/>
  <c r="AY14" i="15"/>
  <c r="AY12" i="15"/>
  <c r="AY10" i="15"/>
  <c r="AY8" i="15"/>
  <c r="AY22" i="15"/>
  <c r="AY21" i="15"/>
  <c r="AY15" i="15"/>
  <c r="AY11" i="15"/>
  <c r="AY20" i="15"/>
  <c r="AY25" i="15"/>
  <c r="AY26" i="15"/>
  <c r="AY19" i="15"/>
  <c r="AY17" i="15"/>
  <c r="AY13" i="15"/>
  <c r="AY9" i="15"/>
  <c r="AM6" i="14"/>
  <c r="AO6" i="1" l="1"/>
  <c r="AN6" i="1"/>
  <c r="J8" i="23"/>
  <c r="J16" i="23"/>
  <c r="J13" i="23"/>
  <c r="J27" i="23"/>
  <c r="J24" i="23"/>
  <c r="J21" i="23"/>
  <c r="J23" i="23"/>
  <c r="J11" i="23"/>
  <c r="J15" i="23"/>
  <c r="J10" i="23"/>
  <c r="J17" i="23"/>
  <c r="J9" i="23"/>
  <c r="J25" i="23"/>
  <c r="J19" i="23"/>
  <c r="J12" i="23"/>
  <c r="J20" i="23"/>
  <c r="J18" i="23"/>
  <c r="J22" i="23"/>
  <c r="J26" i="23"/>
  <c r="J14" i="23"/>
  <c r="AY27" i="22"/>
  <c r="AY26" i="22"/>
  <c r="AY25" i="22"/>
  <c r="AY24" i="22"/>
  <c r="AY21" i="22"/>
  <c r="AY17" i="22"/>
  <c r="AY13" i="22"/>
  <c r="AY9" i="22"/>
  <c r="AY15" i="22"/>
  <c r="AY22" i="22"/>
  <c r="AY18" i="22"/>
  <c r="AY14" i="22"/>
  <c r="AY10" i="22"/>
  <c r="AY23" i="22"/>
  <c r="AY19" i="22"/>
  <c r="AY11" i="22"/>
  <c r="AY20" i="22"/>
  <c r="AY16" i="22"/>
  <c r="AY12" i="22"/>
  <c r="AY8" i="22"/>
  <c r="AY27" i="20"/>
  <c r="AY26" i="20"/>
  <c r="AY24" i="20"/>
  <c r="AY22" i="20"/>
  <c r="AY25" i="20"/>
  <c r="AY23" i="20"/>
  <c r="AY21" i="20"/>
  <c r="AY19" i="20"/>
  <c r="AY15" i="20"/>
  <c r="AY11" i="20"/>
  <c r="AY20" i="20"/>
  <c r="AY16" i="20"/>
  <c r="AY12" i="20"/>
  <c r="AY8" i="20"/>
  <c r="AY14" i="20"/>
  <c r="AY17" i="20"/>
  <c r="AY13" i="20"/>
  <c r="AY9" i="20"/>
  <c r="AY18" i="20"/>
  <c r="AY10" i="20"/>
  <c r="AN6" i="19"/>
  <c r="AO7" i="19"/>
  <c r="AO6" i="19" s="1"/>
  <c r="AY25" i="17"/>
  <c r="AY23" i="17"/>
  <c r="AY27" i="17"/>
  <c r="AY26" i="17"/>
  <c r="AY24" i="17"/>
  <c r="AY22" i="17"/>
  <c r="AY18" i="17"/>
  <c r="AY19" i="17"/>
  <c r="AY15" i="17"/>
  <c r="AY11" i="17"/>
  <c r="AY20" i="17"/>
  <c r="AY16" i="17"/>
  <c r="AY12" i="17"/>
  <c r="AY8" i="17"/>
  <c r="AY21" i="17"/>
  <c r="AY17" i="17"/>
  <c r="AY13" i="17"/>
  <c r="AY9" i="17"/>
  <c r="AY14" i="17"/>
  <c r="AY10" i="17"/>
  <c r="AN6" i="14"/>
  <c r="AO6" i="14"/>
  <c r="J8" i="1" l="1"/>
  <c r="J10" i="1"/>
  <c r="J15" i="1"/>
  <c r="J18" i="1"/>
  <c r="J11" i="1"/>
  <c r="J25" i="1"/>
  <c r="J27" i="1"/>
  <c r="J13" i="1"/>
  <c r="J26" i="1"/>
  <c r="J16" i="1"/>
  <c r="J24" i="1"/>
  <c r="J17" i="1"/>
  <c r="J19" i="1"/>
  <c r="J12" i="1"/>
  <c r="J23" i="1"/>
  <c r="J9" i="1"/>
  <c r="J20" i="1"/>
  <c r="J14" i="1"/>
  <c r="J21" i="1"/>
  <c r="J22" i="1"/>
  <c r="AY24" i="23"/>
  <c r="AY23" i="23"/>
  <c r="AY8" i="23"/>
  <c r="AY17" i="23"/>
  <c r="AY14" i="23"/>
  <c r="AY27" i="23"/>
  <c r="AY16" i="23"/>
  <c r="AY11" i="23"/>
  <c r="AY9" i="23"/>
  <c r="AY15" i="23"/>
  <c r="AY26" i="23"/>
  <c r="AY25" i="23"/>
  <c r="AY12" i="23"/>
  <c r="AY21" i="23"/>
  <c r="AY18" i="23"/>
  <c r="AY22" i="23"/>
  <c r="AY20" i="23"/>
  <c r="AY19" i="23"/>
  <c r="AY13" i="23"/>
  <c r="AY10" i="23"/>
  <c r="J24" i="19"/>
  <c r="J23" i="19"/>
  <c r="J12" i="19"/>
  <c r="J16" i="19"/>
  <c r="J9" i="19"/>
  <c r="J22" i="19"/>
  <c r="J19" i="19"/>
  <c r="J26" i="19"/>
  <c r="J10" i="19"/>
  <c r="J18" i="19"/>
  <c r="J21" i="19"/>
  <c r="J11" i="19"/>
  <c r="J13" i="19"/>
  <c r="J17" i="19"/>
  <c r="J20" i="19"/>
  <c r="J27" i="19"/>
  <c r="J25" i="19"/>
  <c r="J14" i="19"/>
  <c r="J8" i="19"/>
  <c r="J15" i="19"/>
  <c r="J27" i="14"/>
  <c r="J24" i="14"/>
  <c r="J19" i="14"/>
  <c r="J12" i="14"/>
  <c r="J22" i="14"/>
  <c r="J25" i="14"/>
  <c r="J14" i="14"/>
  <c r="J13" i="14"/>
  <c r="J17" i="14"/>
  <c r="J20" i="14"/>
  <c r="J11" i="14"/>
  <c r="J8" i="14"/>
  <c r="J16" i="14"/>
  <c r="J18" i="14"/>
  <c r="J9" i="14"/>
  <c r="J10" i="14"/>
  <c r="J26" i="14"/>
  <c r="J15" i="14"/>
  <c r="J23" i="14"/>
  <c r="J21" i="14"/>
  <c r="AY10" i="1" l="1"/>
  <c r="AY14" i="1"/>
  <c r="AY18" i="1"/>
  <c r="AY22" i="1"/>
  <c r="AY26" i="1"/>
  <c r="AY11" i="1"/>
  <c r="AY15" i="1"/>
  <c r="AY19" i="1"/>
  <c r="AY23" i="1"/>
  <c r="AY27" i="1"/>
  <c r="AY12" i="1"/>
  <c r="AY16" i="1"/>
  <c r="AY20" i="1"/>
  <c r="AY24" i="1"/>
  <c r="AY8" i="1"/>
  <c r="AY9" i="1"/>
  <c r="AY13" i="1"/>
  <c r="AY17" i="1"/>
  <c r="AY21" i="1"/>
  <c r="AY25" i="1"/>
  <c r="AY27" i="19"/>
  <c r="AY26" i="19"/>
  <c r="AY25" i="19"/>
  <c r="AY24" i="19"/>
  <c r="AY23" i="19"/>
  <c r="AY22" i="19"/>
  <c r="AY21" i="19"/>
  <c r="AY20" i="19"/>
  <c r="AY19" i="19"/>
  <c r="AY18" i="19"/>
  <c r="AY17" i="19"/>
  <c r="AY16" i="19"/>
  <c r="AY15" i="19"/>
  <c r="AY14" i="19"/>
  <c r="AY13" i="19"/>
  <c r="AY12" i="19"/>
  <c r="AY11" i="19"/>
  <c r="AY10" i="19"/>
  <c r="AY9" i="19"/>
  <c r="AY8" i="19"/>
  <c r="AY27" i="14"/>
  <c r="AY26" i="14"/>
  <c r="AY25" i="14"/>
  <c r="AY24" i="14"/>
  <c r="AY23" i="14"/>
  <c r="AY22" i="14"/>
  <c r="AY21" i="14"/>
  <c r="AY20" i="14"/>
  <c r="AY19" i="14"/>
  <c r="AY18" i="14"/>
  <c r="AY17" i="14"/>
  <c r="AY16" i="14"/>
  <c r="AY15" i="14"/>
  <c r="AY14" i="14"/>
  <c r="AY13" i="14"/>
  <c r="AY12" i="14"/>
  <c r="AY11" i="14"/>
  <c r="AY10" i="14"/>
  <c r="AY9" i="14"/>
  <c r="AY8" i="14"/>
</calcChain>
</file>

<file path=xl/sharedStrings.xml><?xml version="1.0" encoding="utf-8"?>
<sst xmlns="http://schemas.openxmlformats.org/spreadsheetml/2006/main" count="7259" uniqueCount="44">
  <si>
    <t xml:space="preserve">  </t>
  </si>
  <si>
    <t>Arun Sharma</t>
  </si>
  <si>
    <t>Sanya Mehta</t>
  </si>
  <si>
    <t>Varun Kumar</t>
  </si>
  <si>
    <t>Jitesh Pandit</t>
  </si>
  <si>
    <t>Ajay jueja</t>
  </si>
  <si>
    <t>Papla Gurjjar</t>
  </si>
  <si>
    <t>Ravi Bishnoi</t>
  </si>
  <si>
    <t>Billuu Sanda</t>
  </si>
  <si>
    <t>Mahesh Bhupati</t>
  </si>
  <si>
    <t>Raghav Chaddha</t>
  </si>
  <si>
    <t>Parineeti chopra</t>
  </si>
  <si>
    <t>Karishma Khanna</t>
  </si>
  <si>
    <t>Deepika Padukone</t>
  </si>
  <si>
    <t>Priyanka Chopra</t>
  </si>
  <si>
    <t>Lolita Mishra</t>
  </si>
  <si>
    <t>Lola singh</t>
  </si>
  <si>
    <t>Danny Denzongpa</t>
  </si>
  <si>
    <t>Loly jay</t>
  </si>
  <si>
    <t>Rihanna Disuza</t>
  </si>
  <si>
    <t>Pinky Pandubiya</t>
  </si>
  <si>
    <t>EMPLOYEE ID</t>
  </si>
  <si>
    <t>EMPLOYEE NAME</t>
  </si>
  <si>
    <t>WEEK OFF</t>
  </si>
  <si>
    <t>FROM</t>
  </si>
  <si>
    <t>DAYS</t>
  </si>
  <si>
    <t>SR NO</t>
  </si>
  <si>
    <t>ADDITIONAL INFORMATION</t>
  </si>
  <si>
    <t>TO</t>
  </si>
  <si>
    <t>EMP NAME</t>
  </si>
  <si>
    <t>PRESENT</t>
  </si>
  <si>
    <t>ABSENT</t>
  </si>
  <si>
    <t>LEAVE</t>
  </si>
  <si>
    <t xml:space="preserve">WEEK OFF </t>
  </si>
  <si>
    <t>PAID DAYS</t>
  </si>
  <si>
    <t>SALARY</t>
  </si>
  <si>
    <t>EMPL ID</t>
  </si>
  <si>
    <t>SPARKLINE</t>
  </si>
  <si>
    <t>P</t>
  </si>
  <si>
    <t>A</t>
  </si>
  <si>
    <t>L</t>
  </si>
  <si>
    <t>NET SALARY</t>
  </si>
  <si>
    <t xml:space="preserve"> DEDUCTION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</si>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</sst>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₹&quot;\ #,##0;&quot;₹&quot;\ \-#,##0"/>
    <numFmt numFmtId="164" formatCode="dd"/>
    <numFmt numFmtId="165" formatCode="d"/>
    <numFmt numFmtId="166" formatCode="&quot;₹&quot;\ #,##0.00"/>
  </numFmts>
  <fonts count="12">
    <font>
      <sz val="11"/>
      <color theme="1"/>
      <name val="Aptos Narrow"/>
      <family val="2"/>
      <scheme val="minor"/>
    </font>
    <font>
      <sz val="11"/>
      <color theme="1"/>
      <name val="Georgia"/>
      <family val="1"/>
    </font>
    <font>
      <b/>
      <sz val="11"/>
      <color theme="0"/>
      <name val="Georgia"/>
      <family val="1"/>
    </font>
    <font>
      <b/>
      <sz val="18"/>
      <color theme="1"/>
      <name val="Abadi Extra Light"/>
      <family val="2"/>
    </font>
    <font>
      <sz val="18"/>
      <color theme="1"/>
      <name val="Stencil"/>
      <family val="5"/>
    </font>
    <font>
      <sz val="18"/>
      <color theme="1"/>
      <name val="Georgia"/>
      <family val="1"/>
    </font>
    <font>
      <b/>
      <sz val="18"/>
      <color theme="1"/>
      <name val="Georgia"/>
      <family val="1"/>
    </font>
    <font>
      <b/>
      <sz val="18"/>
      <color theme="2"/>
      <name val="Stencil"/>
      <family val="5"/>
    </font>
    <font>
      <b/>
      <sz val="24"/>
      <color theme="1"/>
      <name val="Georgia"/>
      <family val="1"/>
    </font>
    <font>
      <b/>
      <sz val="9"/>
      <color theme="2"/>
      <name val="Stencil"/>
      <family val="5"/>
    </font>
    <font>
      <sz val="9"/>
      <color theme="1"/>
      <name val="Aptos Narrow"/>
      <family val="2"/>
      <scheme val="minor"/>
    </font>
    <font>
      <sz val="9"/>
      <color theme="1"/>
      <name val="Stencil"/>
      <family val="5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4C81E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15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wrapText="1"/>
    </xf>
    <xf numFmtId="0" fontId="1" fillId="6" borderId="0" xfId="0" applyFont="1" applyFill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64" fontId="7" fillId="3" borderId="5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1" fillId="5" borderId="0" xfId="0" applyFont="1" applyFill="1"/>
    <xf numFmtId="0" fontId="1" fillId="0" borderId="0" xfId="0" applyFont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/>
    <xf numFmtId="0" fontId="6" fillId="5" borderId="0" xfId="0" applyFont="1" applyFill="1"/>
    <xf numFmtId="15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5" borderId="0" xfId="0" applyFont="1" applyFill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wrapText="1"/>
    </xf>
    <xf numFmtId="15" fontId="6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7" fillId="3" borderId="0" xfId="0" applyFont="1" applyFill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" fillId="5" borderId="6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1" fillId="6" borderId="4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1" fillId="5" borderId="1" xfId="0" applyFont="1" applyFill="1" applyBorder="1"/>
    <xf numFmtId="0" fontId="1" fillId="5" borderId="2" xfId="0" applyFont="1" applyFill="1" applyBorder="1"/>
    <xf numFmtId="0" fontId="1" fillId="5" borderId="4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6" borderId="1" xfId="0" applyFont="1" applyFill="1" applyBorder="1"/>
    <xf numFmtId="0" fontId="1" fillId="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4" xfId="0" applyFont="1" applyFill="1" applyBorder="1" applyAlignment="1">
      <alignment horizontal="center"/>
    </xf>
    <xf numFmtId="0" fontId="1" fillId="6" borderId="6" xfId="0" applyFont="1" applyFill="1" applyBorder="1"/>
    <xf numFmtId="0" fontId="1" fillId="6" borderId="7" xfId="0" applyFont="1" applyFill="1" applyBorder="1" applyAlignment="1">
      <alignment horizontal="center" vertical="center"/>
    </xf>
    <xf numFmtId="0" fontId="1" fillId="6" borderId="7" xfId="0" applyFont="1" applyFill="1" applyBorder="1"/>
    <xf numFmtId="0" fontId="1" fillId="6" borderId="8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166" fontId="5" fillId="0" borderId="9" xfId="0" applyNumberFormat="1" applyFont="1" applyBorder="1" applyAlignment="1">
      <alignment horizontal="center" vertical="center" wrapText="1"/>
    </xf>
    <xf numFmtId="166" fontId="5" fillId="0" borderId="10" xfId="0" applyNumberFormat="1" applyFont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center" vertical="center" wrapText="1"/>
    </xf>
    <xf numFmtId="5" fontId="5" fillId="0" borderId="9" xfId="0" applyNumberFormat="1" applyFont="1" applyBorder="1" applyAlignment="1">
      <alignment horizontal="center" vertical="center" wrapText="1"/>
    </xf>
    <xf numFmtId="5" fontId="5" fillId="0" borderId="10" xfId="0" applyNumberFormat="1" applyFont="1" applyBorder="1" applyAlignment="1">
      <alignment horizontal="center" vertical="center" wrapText="1"/>
    </xf>
    <xf numFmtId="5" fontId="5" fillId="0" borderId="11" xfId="0" applyNumberFormat="1" applyFont="1" applyBorder="1" applyAlignment="1">
      <alignment horizontal="center" vertical="center" wrapText="1"/>
    </xf>
    <xf numFmtId="5" fontId="5" fillId="0" borderId="5" xfId="0" applyNumberFormat="1" applyFont="1" applyBorder="1" applyAlignment="1">
      <alignment horizontal="center" vertical="center" wrapText="1"/>
    </xf>
    <xf numFmtId="5" fontId="5" fillId="0" borderId="1" xfId="0" applyNumberFormat="1" applyFont="1" applyBorder="1" applyAlignment="1">
      <alignment horizontal="center" vertical="center" wrapText="1"/>
    </xf>
    <xf numFmtId="5" fontId="5" fillId="0" borderId="4" xfId="0" applyNumberFormat="1" applyFont="1" applyBorder="1" applyAlignment="1">
      <alignment horizontal="center" vertical="center" wrapText="1"/>
    </xf>
    <xf numFmtId="5" fontId="5" fillId="0" borderId="3" xfId="0" applyNumberFormat="1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4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5" fontId="5" fillId="0" borderId="2" xfId="0" applyNumberFormat="1" applyFont="1" applyBorder="1" applyAlignment="1">
      <alignment horizontal="center" vertical="center" wrapText="1"/>
    </xf>
    <xf numFmtId="5" fontId="5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7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68">
    <dxf>
      <font>
        <color theme="9" tint="-0.24994659260841701"/>
      </font>
    </dxf>
    <dxf>
      <font>
        <color rgb="FFFF0000"/>
      </font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6"/>
      </font>
    </dxf>
    <dxf>
      <font>
        <color rgb="FFFF0000"/>
      </font>
    </dxf>
    <dxf>
      <font>
        <color theme="2" tint="-0.749961851863155"/>
      </font>
    </dxf>
    <dxf>
      <font>
        <color theme="9" tint="-0.24994659260841701"/>
      </font>
    </dxf>
    <dxf>
      <font>
        <color rgb="FFFF0000"/>
      </font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9" tint="-0.24994659260841701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2" tint="-0.749961851863155"/>
      </font>
    </dxf>
    <dxf>
      <fill>
        <patternFill>
          <bgColor theme="0" tint="-0.34998626667073579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1" tint="0.14996795556505021"/>
      </font>
    </dxf>
    <dxf>
      <fill>
        <patternFill>
          <bgColor theme="0" tint="-0.34998626667073579"/>
        </patternFill>
      </fill>
    </dxf>
    <dxf>
      <font>
        <color rgb="FFFF0000"/>
      </font>
    </dxf>
    <dxf>
      <font>
        <color theme="9" tint="-0.24994659260841701"/>
      </font>
    </dxf>
    <dxf>
      <fill>
        <patternFill>
          <bgColor rgb="FFFF0000"/>
        </patternFill>
      </fill>
    </dxf>
    <dxf>
      <fill>
        <patternFill>
          <bgColor theme="1" tint="0.24994659260841701"/>
        </patternFill>
      </fill>
    </dxf>
    <dxf>
      <font>
        <color rgb="FFFF0000"/>
      </font>
    </dxf>
    <dxf>
      <font>
        <color theme="2" tint="-0.749961851863155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9" formatCode="&quot;₹&quot;\ #,##0;&quot;₹&quot;\ \-#,##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165" formatCode="d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tencil"/>
        <family val="5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Georgia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family val="1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4C81E"/>
      <color rgb="FFCC3300"/>
      <color rgb="FFB7D9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image" Target="../media/image1.png"/><Relationship Id="rId3" Type="http://schemas.openxmlformats.org/officeDocument/2006/relationships/hyperlink" Target="#MAY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17" Type="http://schemas.openxmlformats.org/officeDocument/2006/relationships/image" Target="../media/image5.png"/><Relationship Id="rId2" Type="http://schemas.openxmlformats.org/officeDocument/2006/relationships/hyperlink" Target="#MARCH!A1"/><Relationship Id="rId16" Type="http://schemas.openxmlformats.org/officeDocument/2006/relationships/image" Target="../media/image4.png"/><Relationship Id="rId1" Type="http://schemas.openxmlformats.org/officeDocument/2006/relationships/hyperlink" Target="#FEBRUARY!A1"/><Relationship Id="rId6" Type="http://schemas.openxmlformats.org/officeDocument/2006/relationships/hyperlink" Target="#JANUARY!A1"/><Relationship Id="rId11" Type="http://schemas.openxmlformats.org/officeDocument/2006/relationships/hyperlink" Target="#NOVEMBER!A1"/><Relationship Id="rId5" Type="http://schemas.openxmlformats.org/officeDocument/2006/relationships/hyperlink" Target="#JUNE!A1"/><Relationship Id="rId15" Type="http://schemas.openxmlformats.org/officeDocument/2006/relationships/image" Target="../media/image3.png"/><Relationship Id="rId10" Type="http://schemas.openxmlformats.org/officeDocument/2006/relationships/hyperlink" Target="#OCOT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3DB4CC-839D-67F2-3456-4C7E2E571665}"/>
            </a:ext>
          </a:extLst>
        </xdr:cNvPr>
        <xdr:cNvSpPr/>
      </xdr:nvSpPr>
      <xdr:spPr>
        <a:xfrm>
          <a:off x="0" y="19051"/>
          <a:ext cx="1806575" cy="136969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FFE80C-58DF-2D2F-2B74-3E430855AE11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53975</xdr:colOff>
      <xdr:row>8</xdr:row>
      <xdr:rowOff>212724</xdr:rowOff>
    </xdr:from>
    <xdr:to>
      <xdr:col>2</xdr:col>
      <xdr:colOff>523875</xdr:colOff>
      <xdr:row>10</xdr:row>
      <xdr:rowOff>206724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9124EC-B78E-4244-81FF-2F51FA93E163}"/>
            </a:ext>
          </a:extLst>
        </xdr:cNvPr>
        <xdr:cNvSpPr/>
      </xdr:nvSpPr>
      <xdr:spPr>
        <a:xfrm>
          <a:off x="53975" y="3260724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2D17AA-C79F-4B88-B39B-108C7104FDB9}"/>
            </a:ext>
          </a:extLst>
        </xdr:cNvPr>
        <xdr:cNvSpPr/>
      </xdr:nvSpPr>
      <xdr:spPr>
        <a:xfrm>
          <a:off x="53975" y="5353050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91CC5D-E865-46C6-AB5D-F5350FC70790}"/>
            </a:ext>
          </a:extLst>
        </xdr:cNvPr>
        <xdr:cNvSpPr/>
      </xdr:nvSpPr>
      <xdr:spPr>
        <a:xfrm>
          <a:off x="53975" y="4305300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53975</xdr:colOff>
      <xdr:row>16</xdr:row>
      <xdr:rowOff>260349</xdr:rowOff>
    </xdr:from>
    <xdr:to>
      <xdr:col>2</xdr:col>
      <xdr:colOff>523875</xdr:colOff>
      <xdr:row>18</xdr:row>
      <xdr:rowOff>254349</xdr:rowOff>
    </xdr:to>
    <xdr:sp macro="" textlink="">
      <xdr:nvSpPr>
        <xdr:cNvPr id="10" name="Rectangle: Rounded Corner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A7516A-CE58-450C-8CBC-FB4B22EA41FB}"/>
            </a:ext>
          </a:extLst>
        </xdr:cNvPr>
        <xdr:cNvSpPr/>
      </xdr:nvSpPr>
      <xdr:spPr>
        <a:xfrm>
          <a:off x="53975" y="6356349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1</xdr:col>
      <xdr:colOff>92075</xdr:colOff>
      <xdr:row>4</xdr:row>
      <xdr:rowOff>107950</xdr:rowOff>
    </xdr:from>
    <xdr:to>
      <xdr:col>3</xdr:col>
      <xdr:colOff>561975</xdr:colOff>
      <xdr:row>5</xdr:row>
      <xdr:rowOff>482950</xdr:rowOff>
    </xdr:to>
    <xdr:sp macro="" textlink="">
      <xdr:nvSpPr>
        <xdr:cNvPr id="11" name="Rectangle: Rounded Corner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A920BB6-2609-4FB3-A719-DC72718D67ED}"/>
            </a:ext>
          </a:extLst>
        </xdr:cNvPr>
        <xdr:cNvSpPr/>
      </xdr:nvSpPr>
      <xdr:spPr>
        <a:xfrm>
          <a:off x="701675" y="1631950"/>
          <a:ext cx="1689100" cy="7560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12" name="Rectangle: Rounded Corner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07FD7A-73F5-49ED-83AC-62AB78BAB5D1}"/>
            </a:ext>
          </a:extLst>
        </xdr:cNvPr>
        <xdr:cNvSpPr/>
      </xdr:nvSpPr>
      <xdr:spPr>
        <a:xfrm>
          <a:off x="53975" y="7467600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C549969-8F61-45EB-B24D-04B1D337DC35}"/>
            </a:ext>
          </a:extLst>
        </xdr:cNvPr>
        <xdr:cNvSpPr/>
      </xdr:nvSpPr>
      <xdr:spPr>
        <a:xfrm>
          <a:off x="53975" y="8547100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95DAF93-2DCE-453D-8FCB-3C5BDAF49381}"/>
            </a:ext>
          </a:extLst>
        </xdr:cNvPr>
        <xdr:cNvSpPr/>
      </xdr:nvSpPr>
      <xdr:spPr>
        <a:xfrm>
          <a:off x="53975" y="9559925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15" name="Rectangle: Rounded Corner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BC7973E-0F69-41D1-B370-EC7AAB55CAE7}"/>
            </a:ext>
          </a:extLst>
        </xdr:cNvPr>
        <xdr:cNvSpPr/>
      </xdr:nvSpPr>
      <xdr:spPr>
        <a:xfrm>
          <a:off x="53975" y="10582275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17" name="Rectangle: Rounded Corners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A713B42-93D2-498A-9B9D-886140735EB3}"/>
            </a:ext>
          </a:extLst>
        </xdr:cNvPr>
        <xdr:cNvSpPr/>
      </xdr:nvSpPr>
      <xdr:spPr>
        <a:xfrm>
          <a:off x="53975" y="11576050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18" name="Rectangle: Rounded Corners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9198508-BF4B-4202-A239-9D5564769B0A}"/>
            </a:ext>
          </a:extLst>
        </xdr:cNvPr>
        <xdr:cNvSpPr/>
      </xdr:nvSpPr>
      <xdr:spPr>
        <a:xfrm>
          <a:off x="53975" y="12566649"/>
          <a:ext cx="16764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1673F27-4421-A0AB-6A2B-29D59C7A3D93}"/>
            </a:ext>
          </a:extLst>
        </xdr:cNvPr>
        <xdr:cNvSpPr/>
      </xdr:nvSpPr>
      <xdr:spPr>
        <a:xfrm>
          <a:off x="1803398" y="0"/>
          <a:ext cx="3321050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19050</xdr:colOff>
      <xdr:row>4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4522849-B232-031F-A553-D7555E0D265E}"/>
            </a:ext>
          </a:extLst>
        </xdr:cNvPr>
        <xdr:cNvSpPr/>
      </xdr:nvSpPr>
      <xdr:spPr>
        <a:xfrm>
          <a:off x="3154680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31C240B-5008-0AC1-A93A-B5A2FCE916DF}"/>
            </a:ext>
          </a:extLst>
        </xdr:cNvPr>
        <xdr:cNvSpPr/>
      </xdr:nvSpPr>
      <xdr:spPr>
        <a:xfrm>
          <a:off x="3657600" y="152400"/>
          <a:ext cx="1219200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9" name="Rectangle: Rounded Corners 8">
          <a:extLst>
            <a:ext uri="{FF2B5EF4-FFF2-40B4-BE49-F238E27FC236}">
              <a16:creationId xmlns:a16="http://schemas.microsoft.com/office/drawing/2014/main" id="{E9D6048E-A2AE-4D38-A3ED-3EE1A55FE5E6}"/>
            </a:ext>
          </a:extLst>
        </xdr:cNvPr>
        <xdr:cNvSpPr/>
      </xdr:nvSpPr>
      <xdr:spPr>
        <a:xfrm>
          <a:off x="8020049" y="161925"/>
          <a:ext cx="211455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28-Feb-25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16" name="Rectangle: Rounded Corners 15">
          <a:extLst>
            <a:ext uri="{FF2B5EF4-FFF2-40B4-BE49-F238E27FC236}">
              <a16:creationId xmlns:a16="http://schemas.microsoft.com/office/drawing/2014/main" id="{D1FB2F33-0EDC-4298-AA38-FB91CEE727DD}"/>
            </a:ext>
          </a:extLst>
        </xdr:cNvPr>
        <xdr:cNvSpPr/>
      </xdr:nvSpPr>
      <xdr:spPr>
        <a:xfrm>
          <a:off x="4857749" y="142875"/>
          <a:ext cx="1771650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01-Feb-25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51B9400-FBFB-4DC0-9309-61ED9A7F811D}"/>
            </a:ext>
          </a:extLst>
        </xdr:cNvPr>
        <xdr:cNvSpPr/>
      </xdr:nvSpPr>
      <xdr:spPr>
        <a:xfrm>
          <a:off x="6686549" y="161925"/>
          <a:ext cx="1333501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2585AB7E-463C-205C-27DF-8D1CD916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372850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1A12624F-E648-276E-6AA7-D440727F6B28}"/>
            </a:ext>
          </a:extLst>
        </xdr:cNvPr>
        <xdr:cNvSpPr/>
      </xdr:nvSpPr>
      <xdr:spPr>
        <a:xfrm>
          <a:off x="10820400" y="152400"/>
          <a:ext cx="7867650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28" name="Graphic 27" descr="Research with solid fill">
          <a:extLst>
            <a:ext uri="{FF2B5EF4-FFF2-40B4-BE49-F238E27FC236}">
              <a16:creationId xmlns:a16="http://schemas.microsoft.com/office/drawing/2014/main" id="{EB2864EA-A01D-84A7-89BC-D7FEABD2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010900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F166E36-FEDC-AB7F-40D6-B7DE45FF6111}"/>
            </a:ext>
          </a:extLst>
        </xdr:cNvPr>
        <xdr:cNvSpPr txBox="1"/>
      </xdr:nvSpPr>
      <xdr:spPr>
        <a:xfrm>
          <a:off x="11658600" y="228600"/>
          <a:ext cx="5619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35" name="Rectangle 34">
          <a:extLst>
            <a:ext uri="{FF2B5EF4-FFF2-40B4-BE49-F238E27FC236}">
              <a16:creationId xmlns:a16="http://schemas.microsoft.com/office/drawing/2014/main" id="{E504CBF9-FFD4-3808-2E26-0F11419A6520}"/>
            </a:ext>
          </a:extLst>
        </xdr:cNvPr>
        <xdr:cNvSpPr/>
      </xdr:nvSpPr>
      <xdr:spPr>
        <a:xfrm>
          <a:off x="16973550" y="266700"/>
          <a:ext cx="1295400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February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F09CB9A-AD9B-7D2B-E134-B61804DD78E1}"/>
            </a:ext>
          </a:extLst>
        </xdr:cNvPr>
        <xdr:cNvSpPr txBox="1"/>
      </xdr:nvSpPr>
      <xdr:spPr>
        <a:xfrm>
          <a:off x="19507200" y="114300"/>
          <a:ext cx="10477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F289006-B9CB-F9DA-BAA4-1AF6B65CF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7769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8D17462-19E1-4F81-8506-8F47E55A69E3}"/>
            </a:ext>
          </a:extLst>
        </xdr:cNvPr>
        <xdr:cNvSpPr txBox="1"/>
      </xdr:nvSpPr>
      <xdr:spPr>
        <a:xfrm>
          <a:off x="21367749" y="152400"/>
          <a:ext cx="1035051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AFB920F-A1F9-A8D6-CFB5-D327030EB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6247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139FAD5-AFB7-6DD9-5B6A-E10DEF4FA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593299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1BF1CB0-DE4B-A207-A03E-44CCE4977EAE}"/>
            </a:ext>
          </a:extLst>
        </xdr:cNvPr>
        <xdr:cNvSpPr/>
      </xdr:nvSpPr>
      <xdr:spPr>
        <a:xfrm>
          <a:off x="23164800" y="114300"/>
          <a:ext cx="10668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ACC86B7-3B0B-4B1F-A29D-7202DCE42C43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1</xdr:col>
      <xdr:colOff>34925</xdr:colOff>
      <xdr:row>6</xdr:row>
      <xdr:rowOff>174624</xdr:rowOff>
    </xdr:from>
    <xdr:to>
      <xdr:col>3</xdr:col>
      <xdr:colOff>504825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947219-F9DE-4EF2-9857-AB9ECDEBB3AE}"/>
            </a:ext>
          </a:extLst>
        </xdr:cNvPr>
        <xdr:cNvSpPr/>
      </xdr:nvSpPr>
      <xdr:spPr>
        <a:xfrm>
          <a:off x="644525" y="2689224"/>
          <a:ext cx="1689100" cy="70167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53975</xdr:colOff>
      <xdr:row>8</xdr:row>
      <xdr:rowOff>212724</xdr:rowOff>
    </xdr:from>
    <xdr:to>
      <xdr:col>2</xdr:col>
      <xdr:colOff>523875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13E10B-D1BA-4345-8DC4-432C515D6198}"/>
            </a:ext>
          </a:extLst>
        </xdr:cNvPr>
        <xdr:cNvSpPr/>
      </xdr:nvSpPr>
      <xdr:spPr>
        <a:xfrm>
          <a:off x="53975" y="3717924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38BC39-3919-4C37-B4D3-FAFD80F5D96D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B05A938-165A-4A6A-A571-D8EBEAFE6D65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53975</xdr:colOff>
      <xdr:row>16</xdr:row>
      <xdr:rowOff>260349</xdr:rowOff>
    </xdr:from>
    <xdr:to>
      <xdr:col>2</xdr:col>
      <xdr:colOff>523875</xdr:colOff>
      <xdr:row>18</xdr:row>
      <xdr:rowOff>254349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5F2A05-1F38-4F8D-92EC-20C86328F60F}"/>
            </a:ext>
          </a:extLst>
        </xdr:cNvPr>
        <xdr:cNvSpPr/>
      </xdr:nvSpPr>
      <xdr:spPr>
        <a:xfrm>
          <a:off x="53975" y="68135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F5D4EA-A211-4749-8189-158D4A3DB957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dk1"/>
              </a:solidFill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FA0B27D-67C7-4D9B-9B03-41173501A5EC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8CDAF4-6676-4E11-AC75-BDB764C0D869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B422B8F-C2EC-43D6-BD71-E3798E005CFF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50D3E7A-0711-4578-AB66-7D6B3ADF781B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64F5F27-4795-4E22-825F-CE37F9A49754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67F6AB0-0CB1-415C-B1DF-D1172D25E4B4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54B3657-27AD-4EE1-B7A0-CAB118C07394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19050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4C629B7-D727-4E3B-A4F9-C5A21FDAC760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78DAEAE0-357A-4DF3-A09F-211381C7F97C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AE34C4FD-DD37-4147-B1B1-4845BF8EECD5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28-Feb-25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3E447FCD-00C7-42A1-9B98-28D1E52A348C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01-Feb-25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013A7F10-DB18-4C0B-B722-3D7F01F80149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46DF9F0E-0AB9-40E5-8467-37FB57CA5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166E685F-EBEF-4B00-99A6-CD72F762A203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7C96DD77-3603-49A6-96FF-9206EE5B8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F3D0FC7-392A-4479-AE07-88E83D84FBD5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29142D66-95FF-40FF-9F8A-16B2648C9BFA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February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BE1AE6B-727F-494E-9C5B-4411AC0C3F5A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F26B983-6B24-428C-B856-EF4162AB1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AB5723E-0A71-4DED-A6F9-46E35EE102D3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217B581-A39A-4467-8472-60D2699B0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330C81C-54F7-4D8A-A834-E7A85A6A6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369443B-8859-423A-96BB-3ABB713D72BF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286D564-4945-4BB6-8541-E51A7CF89532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EED8D8-2094-4C00-B852-1BCB09893B50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1</xdr:col>
      <xdr:colOff>168275</xdr:colOff>
      <xdr:row>8</xdr:row>
      <xdr:rowOff>212724</xdr:rowOff>
    </xdr:from>
    <xdr:to>
      <xdr:col>4</xdr:col>
      <xdr:colOff>28575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B9F368-8421-40D6-ABB9-9FF85D60B378}"/>
            </a:ext>
          </a:extLst>
        </xdr:cNvPr>
        <xdr:cNvSpPr/>
      </xdr:nvSpPr>
      <xdr:spPr>
        <a:xfrm>
          <a:off x="777875" y="3717924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5F2164-73F5-4C7E-A506-2E237499AC2F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3F397B-3E4B-4CF8-8FC4-150CEE1824D2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53975</xdr:colOff>
      <xdr:row>16</xdr:row>
      <xdr:rowOff>336549</xdr:rowOff>
    </xdr:from>
    <xdr:to>
      <xdr:col>2</xdr:col>
      <xdr:colOff>523875</xdr:colOff>
      <xdr:row>18</xdr:row>
      <xdr:rowOff>330549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BA550F-3B14-49CA-AE73-8D0DCDBEF12A}"/>
            </a:ext>
          </a:extLst>
        </xdr:cNvPr>
        <xdr:cNvSpPr/>
      </xdr:nvSpPr>
      <xdr:spPr>
        <a:xfrm>
          <a:off x="53975" y="68897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46668C5-A408-4E6A-9633-70676209D227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A45790D-72E5-450C-B89F-0A011633300C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EC96F38-DF3F-4363-9FBC-A90FCA4889BB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3FA502-40DF-424B-AB52-32C7EE4F5953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A17B818-8E1E-476C-AF79-42C9E37010BD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31C3A6E-7095-47EC-8DA6-85B64A0D3907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6530CB4-6660-46A0-9A21-376853C85BBE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4F7D1DE-FCF6-4109-897B-C49ECFDE32B1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19050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43EC50D-75C2-4F7A-86F0-D6165D05352E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0A896BC7-07A0-498C-97F7-8B9AC373CBDF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2DC65F6D-00BB-4012-816D-D5801702B6B1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31-Mar-25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629B314E-127D-450A-847F-E73CCF90F294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01-Mar-25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E1E9F77F-B7F0-4EF3-8CBE-9332FDDAE5BB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E3FF4A76-2019-4679-B172-B24D67EF0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4D67EA6B-51C8-43DD-A12B-B2B3D3AB9E8A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75F9A270-69E9-4107-94C8-EE2D633C0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DF31523-260A-401A-8C03-0706A4712921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E8E7AB87-CD09-4B34-B66E-875356CF8A78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March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AF67599-641E-44E6-9913-1EC2344370C2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FF9D304-236B-4DC5-B79F-C444BE7B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4C3FD3B-E2C9-417B-A9C4-9FE010990CDD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DE4CF79-8F3A-42AD-9DBB-34AC1A08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6BF5026-C3E4-49BD-A053-700697246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96FBE663-1C57-48AF-8E48-1CB5286B2274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ECB699E-DCA8-4ADF-95D1-B63425A1363C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EF2DFF-FF78-4411-933E-87DDCD2D66F8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34925</xdr:colOff>
      <xdr:row>8</xdr:row>
      <xdr:rowOff>212724</xdr:rowOff>
    </xdr:from>
    <xdr:to>
      <xdr:col>2</xdr:col>
      <xdr:colOff>504825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4D142A-6121-4ABC-858B-E7E33BCC17EA}"/>
            </a:ext>
          </a:extLst>
        </xdr:cNvPr>
        <xdr:cNvSpPr/>
      </xdr:nvSpPr>
      <xdr:spPr>
        <a:xfrm>
          <a:off x="34925" y="3717924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tx1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2DCCDB-41F8-4755-9EBA-D539C70BA14A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1</xdr:col>
      <xdr:colOff>320675</xdr:colOff>
      <xdr:row>11</xdr:row>
      <xdr:rowOff>114300</xdr:rowOff>
    </xdr:from>
    <xdr:to>
      <xdr:col>4</xdr:col>
      <xdr:colOff>180975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327887-9B7A-4E3D-95BC-475B26C80E0B}"/>
            </a:ext>
          </a:extLst>
        </xdr:cNvPr>
        <xdr:cNvSpPr/>
      </xdr:nvSpPr>
      <xdr:spPr>
        <a:xfrm>
          <a:off x="930275" y="4762500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53975</xdr:colOff>
      <xdr:row>16</xdr:row>
      <xdr:rowOff>260349</xdr:rowOff>
    </xdr:from>
    <xdr:to>
      <xdr:col>2</xdr:col>
      <xdr:colOff>523875</xdr:colOff>
      <xdr:row>18</xdr:row>
      <xdr:rowOff>254349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DFEE34-F8B9-46E8-80CE-1D80118D4976}"/>
            </a:ext>
          </a:extLst>
        </xdr:cNvPr>
        <xdr:cNvSpPr/>
      </xdr:nvSpPr>
      <xdr:spPr>
        <a:xfrm>
          <a:off x="53975" y="68135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3E322C1-AC16-43CA-9527-2521473BFAE9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659AAFE-A632-4669-B0B2-A435CD5A65B3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AFF5B97-3CA4-4F23-925A-2FE11C32EA5C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A29A875-D5E0-44C2-B560-35BE921EA44F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6749F89-B07D-49DF-9AF9-99708DA38276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C4AE41A-245D-408E-9B4C-1B396370620F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ACDB43D-A99F-4617-B1CE-7329D2D5DB68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75721C76-4075-4D57-81A8-3D2EAF29A1F2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7753A23-49C0-439E-BC79-0A2DC741B452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739ADF6E-402E-4406-A2C1-3FA9EB7FF760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3297BC6C-1700-46D5-80DC-435718407F91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30-Apr-25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88090400-41CC-46FD-80BD-3E9F3CFAAF5D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01-Apr-25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AC726AF4-461B-4AFE-8019-80B4E2B81BDF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93BAF68F-867B-49EF-A2D0-9485858DD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73AA7743-DB81-4842-BAF8-230484EEA54C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FD7D8103-0372-41AA-A4E9-80B2C5A24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EF7142B-9D24-48BF-B7E2-1C0842720D4D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11690515-62D1-4E56-9F5C-64544A1A73B7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April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C76D38D-7CE5-4D8E-80F3-1F2AA8A5C15B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0554F46-27A8-432A-A208-C67C74647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BB18FCA-2993-4A9B-887D-1746B47F9283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EBCB9F3-DEC5-4A36-8F1B-1CE3F5394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A3770BB-FC92-416F-AE3F-1D3ABECE5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94E470-5FA3-453A-84A3-60E39394F631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6A6CE96-762D-4F96-A9FE-80B73ADB9230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769041-D827-4AEB-B6E2-9EB8AB398A6F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73025</xdr:colOff>
      <xdr:row>8</xdr:row>
      <xdr:rowOff>212724</xdr:rowOff>
    </xdr:from>
    <xdr:to>
      <xdr:col>2</xdr:col>
      <xdr:colOff>542925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F14327-6209-4FC7-AEA1-D124AF166CD4}"/>
            </a:ext>
          </a:extLst>
        </xdr:cNvPr>
        <xdr:cNvSpPr/>
      </xdr:nvSpPr>
      <xdr:spPr>
        <a:xfrm>
          <a:off x="73025" y="3717924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1</xdr:col>
      <xdr:colOff>206375</xdr:colOff>
      <xdr:row>14</xdr:row>
      <xdr:rowOff>19050</xdr:rowOff>
    </xdr:from>
    <xdr:to>
      <xdr:col>4</xdr:col>
      <xdr:colOff>66675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64FF8B-88FF-492A-890F-8435E3EDA98D}"/>
            </a:ext>
          </a:extLst>
        </xdr:cNvPr>
        <xdr:cNvSpPr/>
      </xdr:nvSpPr>
      <xdr:spPr>
        <a:xfrm>
          <a:off x="815975" y="5810250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E77872-BE7F-4338-907F-B41B3EA620A5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53975</xdr:colOff>
      <xdr:row>16</xdr:row>
      <xdr:rowOff>260349</xdr:rowOff>
    </xdr:from>
    <xdr:to>
      <xdr:col>2</xdr:col>
      <xdr:colOff>523875</xdr:colOff>
      <xdr:row>18</xdr:row>
      <xdr:rowOff>254349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C6B86A6-2047-46D7-B12D-B79DD92EF9C8}"/>
            </a:ext>
          </a:extLst>
        </xdr:cNvPr>
        <xdr:cNvSpPr/>
      </xdr:nvSpPr>
      <xdr:spPr>
        <a:xfrm>
          <a:off x="53975" y="68135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B55A6AB-9AAE-454B-86B8-B266A63D6B39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B872632-0130-45F8-B7A2-44C88DC56308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4ADC45-8758-4612-814E-369BC8BE980F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BF9345-7E4C-40ED-A315-4FD4846DFE60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165E96B-4D90-48DC-9461-EA41D35A1D5D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D35AE2C-D422-4D2F-B149-FF191193987C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435B613-B85B-4FA7-887F-0C22D9028127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797C821-1C1A-4B5A-898F-22BE008F2B4B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D5CD45C-E8AC-48CE-9DB8-9149991AC0C9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1285143B-9D1B-45D2-A4F3-2F4F52DDCF37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B43ABFA5-F399-4407-84BD-5486C9893C2A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31-May-25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968A0B3B-ACA7-4ACC-B290-75420CBA4963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01-May-25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DCD6A590-5120-4CEA-AEAA-2ECB00F90C6E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7A629A7B-913A-47A1-AE5E-0574DA40C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C8F85CA9-E4BE-452B-B952-88A5CFE7D4B4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58975A0B-C4EC-43BF-AF45-4B2B440B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3E80D35-7969-43D8-A8DF-397C0CBDC433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00CAF644-5E8F-4373-B932-004749263CAD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May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958ED13-64E1-4647-B54F-8EBAEC0F8CA2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F7AB4E6-386E-4EF2-862E-2063E274A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ED146ED-E0A6-4ADC-B5AB-156C00078678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49FCCB0-05AC-44AB-96CA-936F013A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C425481-43AB-42AA-9828-42082FA1C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2ED52CC-1C89-43F5-8EFC-A318121BB37F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8998007-B5E9-4106-82BF-1FD48575C8E8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84DD81-4E03-4CD0-8241-DD581ACEA9FE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34925</xdr:colOff>
      <xdr:row>8</xdr:row>
      <xdr:rowOff>212724</xdr:rowOff>
    </xdr:from>
    <xdr:to>
      <xdr:col>2</xdr:col>
      <xdr:colOff>504825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3E7699-43DA-4A30-9750-563AE4BA89AC}"/>
            </a:ext>
          </a:extLst>
        </xdr:cNvPr>
        <xdr:cNvSpPr/>
      </xdr:nvSpPr>
      <xdr:spPr>
        <a:xfrm>
          <a:off x="34925" y="3717924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80F59E-D5A5-4A11-B277-D1F0EC26D6B3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98448F-946D-45D0-A7B2-6520A050E38E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1</xdr:col>
      <xdr:colOff>244475</xdr:colOff>
      <xdr:row>16</xdr:row>
      <xdr:rowOff>298449</xdr:rowOff>
    </xdr:from>
    <xdr:to>
      <xdr:col>4</xdr:col>
      <xdr:colOff>104775</xdr:colOff>
      <xdr:row>18</xdr:row>
      <xdr:rowOff>292449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3FF7A74-5A3D-4ADB-9906-B1C82188712D}"/>
            </a:ext>
          </a:extLst>
        </xdr:cNvPr>
        <xdr:cNvSpPr/>
      </xdr:nvSpPr>
      <xdr:spPr>
        <a:xfrm>
          <a:off x="854075" y="6851649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EF829C8-E0A3-4A42-BF06-67C28E5703AF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84EFADD-FAD8-4031-BE7C-E3ACB8E823F3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87BE681-C4B5-47DA-A1E6-B9042C51FF62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0C1747-22B3-40C6-975D-F252EA3CDC90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BC7E96B-0143-4098-BF39-CD37F9F5304C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FF6BA2D-BA0B-438F-BC6A-FDC2FC72934E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CDBFAD-2074-476C-BC71-C08568000F68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8E3EFF0-9200-48A6-9A5F-223221A598AB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47E6B45-8382-4E8D-930D-439A0E2938F9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49364A8C-13D6-4646-90B8-6C2548A0E628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20FB2847-51AB-4053-ABFE-B31FEB5E9B04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30-Jun-25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960FB0C7-5BB1-4381-AE80-C77831C55F04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01-Jun-25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C1D03DE7-7966-462B-B372-82BBBDA753AE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B50A4CCC-536B-4177-901D-6890443AB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64AAA307-11FA-4BA6-A860-BC208FEE5683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95468DF2-276A-402F-93BF-CB047816F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D034095-7BB9-4C58-97B9-D95BA06877C3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AE4DB798-FF16-4F87-8B29-1BDBBB496C69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June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9FE9F7F-CED0-4A3D-9B1F-0C760CA52943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A6F4558-ACC0-4704-9129-768DF9E5D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69E342C-7E48-4F40-925C-1BBBC74C30D6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FC7E74F-1F8D-4619-9B46-15C309BE5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EDF4372-A294-42E0-AAB2-E9EBFA4CB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9909CE70-E1B2-4B82-810F-309DF0D3475E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A2114C5-ED73-4BD6-9F0F-DB8BF5CB35DD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F5DCC1-5BF4-465F-896A-2991765D65E7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34925</xdr:colOff>
      <xdr:row>8</xdr:row>
      <xdr:rowOff>212724</xdr:rowOff>
    </xdr:from>
    <xdr:to>
      <xdr:col>2</xdr:col>
      <xdr:colOff>504825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FB8095-0AB2-4EA7-A9F9-4417BCCB2888}"/>
            </a:ext>
          </a:extLst>
        </xdr:cNvPr>
        <xdr:cNvSpPr/>
      </xdr:nvSpPr>
      <xdr:spPr>
        <a:xfrm>
          <a:off x="34925" y="3717924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1E7808-3CAC-4BB4-9AC7-E23E4E8F4027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AC5806-D3DA-45ED-A82D-D2CD13F9C879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53975</xdr:colOff>
      <xdr:row>16</xdr:row>
      <xdr:rowOff>298449</xdr:rowOff>
    </xdr:from>
    <xdr:to>
      <xdr:col>2</xdr:col>
      <xdr:colOff>523875</xdr:colOff>
      <xdr:row>18</xdr:row>
      <xdr:rowOff>292449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9E4890-0C0C-499F-AA91-84E8F9E1ABE7}"/>
            </a:ext>
          </a:extLst>
        </xdr:cNvPr>
        <xdr:cNvSpPr/>
      </xdr:nvSpPr>
      <xdr:spPr>
        <a:xfrm>
          <a:off x="53975" y="6851649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58183D0-D6F2-4001-B5AB-400C73AB6ADD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1</xdr:col>
      <xdr:colOff>111125</xdr:colOff>
      <xdr:row>19</xdr:row>
      <xdr:rowOff>228600</xdr:rowOff>
    </xdr:from>
    <xdr:to>
      <xdr:col>3</xdr:col>
      <xdr:colOff>581025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AC9A56E-3C08-44D4-8A16-759502688B2D}"/>
            </a:ext>
          </a:extLst>
        </xdr:cNvPr>
        <xdr:cNvSpPr/>
      </xdr:nvSpPr>
      <xdr:spPr>
        <a:xfrm>
          <a:off x="720725" y="7924800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621A407-C0A7-4B93-B04E-53FB31A6D56D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33466DC-8520-431C-9B55-2BC3A8EFC01C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4109050-177E-48D0-92C8-F3C28D872959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5514579-05E4-4F68-AC3B-7A4D19FB7F77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D99BC6-E08E-4D26-AD6F-656EA64F49E9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7544262-8324-4331-9B34-B406E6D3EE8E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817AD05D-B1FA-42A3-818F-513EE9D9178A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9DF4408A-06F7-4650-BF1B-275896F69011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9082FFF3-96AB-49FE-8FCE-86040621619F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31-Jul-25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C35CD5B1-E608-45A2-8018-28EA73190F98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01-Jul-25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DA478BB7-C2FE-4250-9DEC-142587AEFA30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37B888EC-41A9-4F2C-B5A7-814CF74D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6D909411-334F-4CAB-A1A4-12718B15C8C5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F9F9B1CE-D37D-4520-A90E-5582FBC98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0DD1982-9961-4348-BE37-D1EB323BFA89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C1BC4F6D-0BD3-4634-B502-AFB94BAE0FDD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July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41F8ACE-E9C9-4A62-86BC-48211A1BC408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7F8D4D3-7257-470A-8515-8A69B527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4B83559-6373-4380-8033-C994ED2DF3EF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3966C68-9C87-4634-84AC-ED0C6BBF7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9273CE0-9614-4C9D-9AEA-C4B8B7C24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BA1CA7A0-FE07-4E20-BDFC-29B5D14D75DF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6E84958-1F37-4E9B-8E50-08E9CB2356F8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241FE1-51D1-4D8F-86C2-DEBCC4EB6D25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34925</xdr:colOff>
      <xdr:row>8</xdr:row>
      <xdr:rowOff>212724</xdr:rowOff>
    </xdr:from>
    <xdr:to>
      <xdr:col>2</xdr:col>
      <xdr:colOff>504825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0A5340-2989-4A19-90AB-A1763F55CE80}"/>
            </a:ext>
          </a:extLst>
        </xdr:cNvPr>
        <xdr:cNvSpPr/>
      </xdr:nvSpPr>
      <xdr:spPr>
        <a:xfrm>
          <a:off x="34925" y="3717924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F2C61D-D9DC-441B-ACAD-A7597D64AD91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8EBF4C-6FD4-498A-9472-1CD273B24369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73025</xdr:colOff>
      <xdr:row>16</xdr:row>
      <xdr:rowOff>298449</xdr:rowOff>
    </xdr:from>
    <xdr:to>
      <xdr:col>2</xdr:col>
      <xdr:colOff>542925</xdr:colOff>
      <xdr:row>18</xdr:row>
      <xdr:rowOff>292449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11B050B-66D6-4C44-B207-E18BFC4E1AA0}"/>
            </a:ext>
          </a:extLst>
        </xdr:cNvPr>
        <xdr:cNvSpPr/>
      </xdr:nvSpPr>
      <xdr:spPr>
        <a:xfrm>
          <a:off x="73025" y="6851649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tx1">
                  <a:lumMod val="95000"/>
                  <a:lumOff val="5000"/>
                </a:schemeClr>
              </a:solidFill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3B8C274-F553-42A7-9A4A-0B811421249F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C266C7-C930-46A9-8E17-B18905FD9B1A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1</xdr:col>
      <xdr:colOff>130175</xdr:colOff>
      <xdr:row>22</xdr:row>
      <xdr:rowOff>165100</xdr:rowOff>
    </xdr:from>
    <xdr:to>
      <xdr:col>3</xdr:col>
      <xdr:colOff>600075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081B0AA-2FFD-4E06-8771-ECDCFAFBF816}"/>
            </a:ext>
          </a:extLst>
        </xdr:cNvPr>
        <xdr:cNvSpPr/>
      </xdr:nvSpPr>
      <xdr:spPr>
        <a:xfrm>
          <a:off x="739775" y="9004300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560B78-2AFA-4525-89A3-36D9777ABC89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8FFA739-9FC9-41C8-9C24-B27FADC16364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83C42AC-5C6F-4A6A-9D52-63A03E939D3D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8D0F6AE-7BB7-41B8-9B50-2C95709F7E2D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AFF9ECEA-27D7-4901-91F2-9C8450524FE5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58ACAB3-5A5C-47F8-939D-4B6FC3C44D30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195EBDE6-0D67-4231-BFB5-E7CFD880F419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2C831B25-BDBD-4A72-829E-E51F11DE7898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31-Aug-25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EB34684E-68CB-4A9C-B449-4E6808971B3C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01-Aug-25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378B7166-5582-4027-9FE5-1C2CA11C1AEE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4CA7D962-6B02-4A08-B82C-333D20295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018A3206-7222-4460-B0BC-C2B8EE3F3F81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03E5F529-98E0-44AE-A204-B2D33EF3E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E80CC9F-41B2-4D80-9356-F0CB8BC928D6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91EEE7D9-EEB4-4438-8427-5E176894445A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August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7767B9F-ECF9-4B11-AA17-5ABB6DE3E370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C59E779-4BDD-4404-BE75-94828DEE4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64088FC-7BC7-418D-B6E1-F53A4703DCA2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3EFC672-941A-44E6-A37B-046BA7AB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501FBD4-E663-4E1E-8990-A050574D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9153F06B-3E7E-4049-8398-FEDB84E4450B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1DFAC41-EC18-4D7C-B6B4-61CBE8A53ED2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3D6152-0B18-4049-8D22-461449B5CEAA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34925</xdr:colOff>
      <xdr:row>8</xdr:row>
      <xdr:rowOff>212724</xdr:rowOff>
    </xdr:from>
    <xdr:to>
      <xdr:col>2</xdr:col>
      <xdr:colOff>504825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2980C5-AC44-4D45-9470-CC32F9E31A78}"/>
            </a:ext>
          </a:extLst>
        </xdr:cNvPr>
        <xdr:cNvSpPr/>
      </xdr:nvSpPr>
      <xdr:spPr>
        <a:xfrm>
          <a:off x="34925" y="3717924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4A5F6A-05A6-49E5-89D5-748A52394CF8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1C2283-2893-4786-975D-11D78A0BA182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53975</xdr:colOff>
      <xdr:row>16</xdr:row>
      <xdr:rowOff>336549</xdr:rowOff>
    </xdr:from>
    <xdr:to>
      <xdr:col>2</xdr:col>
      <xdr:colOff>523875</xdr:colOff>
      <xdr:row>18</xdr:row>
      <xdr:rowOff>330549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2E482A-CFA4-4054-87C1-0460341644DB}"/>
            </a:ext>
          </a:extLst>
        </xdr:cNvPr>
        <xdr:cNvSpPr/>
      </xdr:nvSpPr>
      <xdr:spPr>
        <a:xfrm>
          <a:off x="53975" y="6889749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C4FBB66-E7F3-4DDE-BC2F-0921C3266292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C4B01C-3C07-4CF1-A9AF-D119A32DE120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B5ECA3-C57A-4D4A-9A9F-223ADDF3B373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1</xdr:col>
      <xdr:colOff>149225</xdr:colOff>
      <xdr:row>25</xdr:row>
      <xdr:rowOff>34925</xdr:rowOff>
    </xdr:from>
    <xdr:to>
      <xdr:col>4</xdr:col>
      <xdr:colOff>9525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D0FCEEF-9AA9-457F-B875-6A13194E8FD3}"/>
            </a:ext>
          </a:extLst>
        </xdr:cNvPr>
        <xdr:cNvSpPr/>
      </xdr:nvSpPr>
      <xdr:spPr>
        <a:xfrm>
          <a:off x="758825" y="10017125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E46B619-5E14-4FE6-93B7-55E98CF7F08A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0F244AF-0922-4052-BF87-A74311C010BA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2EA6169-457C-4B37-AEB7-FB472D1894C3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9DD284C-040E-4DEB-A263-26BACC3FE85C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A9C7913-A44F-47BE-9B27-D36BD1F64F71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78539E1A-160D-431D-B1B8-A1B26575AA61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28D9506B-29FA-4EFC-86C7-ACD4A5B5919A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30-Sep-25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68C0FEF3-03D9-4226-9CCA-0E05FE8F7175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01-Sep-25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B87F03CA-7175-41BE-A71D-64A4D3746C9F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1558EBBB-E42D-443B-9B04-82905BF76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77865438-1785-4B31-88B0-CFE842055510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EF5325C9-0E1F-44AA-B36C-1AA221E9F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789EF95-F34D-42A9-9C35-C21825464496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67CDDE61-912F-4D29-A8CB-9039E6DC70B9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September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DB0C7CF-6805-415F-9D49-12E1E51B9774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F823173-B178-474C-8CB1-CAA6FA8AB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07CC166-C51D-41A4-831B-3CD266B9F055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ED6E9E2-B160-4B36-8C2C-A28B919DA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C15E66F-8427-4E60-BAF0-F967C5515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FE0FC10D-05F1-4391-9694-93281D9E8499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FA8BE7F-4B6A-40FF-A3C8-E81A49822268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7D34BF-BD3E-463B-B713-8CFD6DAFE74E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34925</xdr:colOff>
      <xdr:row>8</xdr:row>
      <xdr:rowOff>212724</xdr:rowOff>
    </xdr:from>
    <xdr:to>
      <xdr:col>2</xdr:col>
      <xdr:colOff>504825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91E2D5-CB0F-4383-B250-7703EC6F71A2}"/>
            </a:ext>
          </a:extLst>
        </xdr:cNvPr>
        <xdr:cNvSpPr/>
      </xdr:nvSpPr>
      <xdr:spPr>
        <a:xfrm>
          <a:off x="34925" y="3717924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26D6EF-C3DF-45F4-B2EE-C5B063C92EFA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BA55CF-BD66-4077-8B94-D62B87B39125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53975</xdr:colOff>
      <xdr:row>16</xdr:row>
      <xdr:rowOff>298449</xdr:rowOff>
    </xdr:from>
    <xdr:to>
      <xdr:col>2</xdr:col>
      <xdr:colOff>523875</xdr:colOff>
      <xdr:row>18</xdr:row>
      <xdr:rowOff>292449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ED50E8-D1C4-405E-B3B3-BBFF04551AB2}"/>
            </a:ext>
          </a:extLst>
        </xdr:cNvPr>
        <xdr:cNvSpPr/>
      </xdr:nvSpPr>
      <xdr:spPr>
        <a:xfrm>
          <a:off x="53975" y="6851649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tx1"/>
              </a:solidFill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22EA41B-2CFB-4DF4-8A1A-1EA36C55E5AC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7197D9-890B-4521-B7EC-FD22E4A7D877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E8A8A8-97CF-40B2-B4BE-305EEF2EF103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57F84C0-3D8B-4D2F-8AA4-8B4A882E0DC5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1</xdr:col>
      <xdr:colOff>92075</xdr:colOff>
      <xdr:row>27</xdr:row>
      <xdr:rowOff>295275</xdr:rowOff>
    </xdr:from>
    <xdr:to>
      <xdr:col>3</xdr:col>
      <xdr:colOff>561975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F30EEEF-78EA-42BC-A95C-D87B676F34B5}"/>
            </a:ext>
          </a:extLst>
        </xdr:cNvPr>
        <xdr:cNvSpPr/>
      </xdr:nvSpPr>
      <xdr:spPr>
        <a:xfrm>
          <a:off x="701675" y="11039475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FE5309B-7598-4576-BA7D-9E99B3017A39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7F9682C-1DE6-43C2-BBD2-5FE66CFE5A6D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3AD4E72-CBD0-4CD7-B283-8781997429ED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0AA496B-D194-410D-AB9D-4DD583033794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7ECCF100-0397-4B78-946A-77824A7754A3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BBE02D11-9307-422A-A4C7-7D4918DBE2F7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31-Oct-25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7236F02B-5B18-43FB-A596-0DF7AE6AD54F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01-Oct-25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A5A367E4-7C77-4F10-AC79-4639C8489803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C350BED3-6809-443C-B5A2-E4E94D037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E23033BD-1CAA-440A-A6A5-9BA2C86D61A2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0A239CC1-082B-4BC9-8B50-DCAD89B0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A3ECF7-5501-4929-BBA0-E96B8E241C78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2EB449B8-A25C-46CD-B08E-584FA0CB4635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October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B2ABFF4-A750-4999-A971-B4A6EDE64868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3DA1037-AA76-4F4A-A5C2-8A5065B16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74E57D8-A1F5-42AF-8025-E78AA6529862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0BADF08-BBF6-441E-9669-7FD8912FD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454843B-2F3A-415A-82DB-F90CA29B9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B7319AA-AF81-4143-B288-FBB5DD6F04F2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81A21AD-A0F1-4860-BD2F-7A19F5283763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FB2513-0821-4A5B-852C-4091A6EBEC5C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34925</xdr:colOff>
      <xdr:row>8</xdr:row>
      <xdr:rowOff>212724</xdr:rowOff>
    </xdr:from>
    <xdr:to>
      <xdr:col>2</xdr:col>
      <xdr:colOff>504825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C09C6B-FEFB-4EBF-9361-B2931092BF6D}"/>
            </a:ext>
          </a:extLst>
        </xdr:cNvPr>
        <xdr:cNvSpPr/>
      </xdr:nvSpPr>
      <xdr:spPr>
        <a:xfrm>
          <a:off x="34925" y="3717924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6C6093-E471-47BC-ABAC-36B309A6D142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3D70F30-65E8-4E09-90B0-F827B122E66A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73025</xdr:colOff>
      <xdr:row>16</xdr:row>
      <xdr:rowOff>298449</xdr:rowOff>
    </xdr:from>
    <xdr:to>
      <xdr:col>2</xdr:col>
      <xdr:colOff>542925</xdr:colOff>
      <xdr:row>18</xdr:row>
      <xdr:rowOff>292449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1847DC-37AA-4304-98EA-0B62EA13CE0B}"/>
            </a:ext>
          </a:extLst>
        </xdr:cNvPr>
        <xdr:cNvSpPr/>
      </xdr:nvSpPr>
      <xdr:spPr>
        <a:xfrm>
          <a:off x="73025" y="6851649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tx1"/>
              </a:solidFill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8877BB0-D2D2-4DCE-8E3B-83CFF9388CA8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8E42C9-B671-478C-955C-A35F9DDC8B42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E85B30-87F0-4033-8AAE-2BD9BFAB8BE4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1BFA2F9-BE15-416E-8D71-D4AE3970C2CD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B9D0076-B797-4621-B734-4DE64776AB95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1</xdr:col>
      <xdr:colOff>168275</xdr:colOff>
      <xdr:row>30</xdr:row>
      <xdr:rowOff>146050</xdr:rowOff>
    </xdr:from>
    <xdr:to>
      <xdr:col>4</xdr:col>
      <xdr:colOff>28575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6838294-CFBF-46F2-AE6C-00561DA5CC6C}"/>
            </a:ext>
          </a:extLst>
        </xdr:cNvPr>
        <xdr:cNvSpPr/>
      </xdr:nvSpPr>
      <xdr:spPr>
        <a:xfrm>
          <a:off x="777875" y="12033250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0</xdr:col>
      <xdr:colOff>53975</xdr:colOff>
      <xdr:row>32</xdr:row>
      <xdr:rowOff>374649</xdr:rowOff>
    </xdr:from>
    <xdr:to>
      <xdr:col>2</xdr:col>
      <xdr:colOff>523875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0544E25-9437-45EA-97B8-4FE8199C39F2}"/>
            </a:ext>
          </a:extLst>
        </xdr:cNvPr>
        <xdr:cNvSpPr/>
      </xdr:nvSpPr>
      <xdr:spPr>
        <a:xfrm>
          <a:off x="53975" y="13023849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3B8D76AB-1695-4498-8647-94E559EB543F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A6D8BCA-7496-4158-B385-0E1BCA6348F7}"/>
            </a:ext>
          </a:extLst>
        </xdr:cNvPr>
        <xdr:cNvSpPr/>
      </xdr:nvSpPr>
      <xdr:spPr>
        <a:xfrm>
          <a:off x="3617595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FB5337CA-E2A1-47C2-AD0F-F1A007558362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52A4BDB3-8DFF-4830-A266-A40DABF70641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30-Nov-25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4B6BCE68-6422-411D-9D40-B99B96CC9E12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01-Nov-25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869FCEE3-525D-4709-8C90-551AD075ECE6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2FAFCC4D-7346-4136-A652-C7BEEF750A17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209551</xdr:rowOff>
    </xdr:from>
    <xdr:to>
      <xdr:col>13</xdr:col>
      <xdr:colOff>685800</xdr:colOff>
      <xdr:row>1</xdr:row>
      <xdr:rowOff>247651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9AF5AFA0-9096-4F2F-9092-E73BBDA3F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44200" y="209551"/>
          <a:ext cx="495300" cy="4191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4649B23-5222-4965-9704-AFEBCECCA7B9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803865BC-2907-42E8-97B3-F8F6591D3B83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November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18C47D0-CF85-46F8-87C1-E5A462458DDF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361950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8A8B9AD-D07E-40CB-BF1D-8E32A870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919949" y="114300"/>
          <a:ext cx="635002" cy="628650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222FD02-3083-4301-A2EF-00D0605A78DB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76201</xdr:rowOff>
    </xdr:from>
    <xdr:to>
      <xdr:col>27</xdr:col>
      <xdr:colOff>264851</xdr:colOff>
      <xdr:row>1</xdr:row>
      <xdr:rowOff>209551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43FC7D2-1E90-449A-B85D-A48EB6402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48798" y="76201"/>
          <a:ext cx="709353" cy="51435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114301</xdr:rowOff>
    </xdr:from>
    <xdr:to>
      <xdr:col>30</xdr:col>
      <xdr:colOff>133350</xdr:colOff>
      <xdr:row>1</xdr:row>
      <xdr:rowOff>285751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628B5FCE-9D13-4315-9601-1FC231BBD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98349" y="114301"/>
          <a:ext cx="647701" cy="5524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40073461-E600-4361-ABE4-325856C12F9F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2</xdr:col>
      <xdr:colOff>600075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2FDD70A-99A3-4114-A99C-17069ECF6342}"/>
            </a:ext>
          </a:extLst>
        </xdr:cNvPr>
        <xdr:cNvSpPr/>
      </xdr:nvSpPr>
      <xdr:spPr>
        <a:xfrm>
          <a:off x="0" y="19051"/>
          <a:ext cx="1819275" cy="1415414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/>
        </a:p>
      </xdr:txBody>
    </xdr:sp>
    <xdr:clientData/>
  </xdr:twoCellAnchor>
  <xdr:twoCellAnchor>
    <xdr:from>
      <xdr:col>0</xdr:col>
      <xdr:colOff>53975</xdr:colOff>
      <xdr:row>6</xdr:row>
      <xdr:rowOff>174624</xdr:rowOff>
    </xdr:from>
    <xdr:to>
      <xdr:col>2</xdr:col>
      <xdr:colOff>523875</xdr:colOff>
      <xdr:row>7</xdr:row>
      <xdr:rowOff>266700</xdr:rowOff>
    </xdr:to>
    <xdr:sp macro="" textlink="">
      <xdr:nvSpPr>
        <xdr:cNvPr id="33" name="Rectangle: Rounded Corner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91BA0-0F86-43D0-8435-2A4D8C5CA689}"/>
            </a:ext>
          </a:extLst>
        </xdr:cNvPr>
        <xdr:cNvSpPr/>
      </xdr:nvSpPr>
      <xdr:spPr>
        <a:xfrm>
          <a:off x="53975" y="2689224"/>
          <a:ext cx="1689100" cy="7016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February</a:t>
          </a:r>
        </a:p>
      </xdr:txBody>
    </xdr:sp>
    <xdr:clientData/>
  </xdr:twoCellAnchor>
  <xdr:twoCellAnchor>
    <xdr:from>
      <xdr:col>0</xdr:col>
      <xdr:colOff>34925</xdr:colOff>
      <xdr:row>8</xdr:row>
      <xdr:rowOff>212724</xdr:rowOff>
    </xdr:from>
    <xdr:to>
      <xdr:col>2</xdr:col>
      <xdr:colOff>504825</xdr:colOff>
      <xdr:row>10</xdr:row>
      <xdr:rowOff>206724</xdr:rowOff>
    </xdr:to>
    <xdr:sp macro="" textlink="">
      <xdr:nvSpPr>
        <xdr:cNvPr id="34" name="Rectangle: Rounded Corner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373B08-85AC-47DC-8678-810B66AF71DE}"/>
            </a:ext>
          </a:extLst>
        </xdr:cNvPr>
        <xdr:cNvSpPr/>
      </xdr:nvSpPr>
      <xdr:spPr>
        <a:xfrm>
          <a:off x="34925" y="3717924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March</a:t>
          </a:r>
        </a:p>
      </xdr:txBody>
    </xdr:sp>
    <xdr:clientData/>
  </xdr:twoCellAnchor>
  <xdr:twoCellAnchor>
    <xdr:from>
      <xdr:col>0</xdr:col>
      <xdr:colOff>53975</xdr:colOff>
      <xdr:row>14</xdr:row>
      <xdr:rowOff>19050</xdr:rowOff>
    </xdr:from>
    <xdr:to>
      <xdr:col>2</xdr:col>
      <xdr:colOff>523875</xdr:colOff>
      <xdr:row>16</xdr:row>
      <xdr:rowOff>13050</xdr:rowOff>
    </xdr:to>
    <xdr:sp macro="" textlink="">
      <xdr:nvSpPr>
        <xdr:cNvPr id="35" name="Rectangle: Rounded Corner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CB1E61-6CB0-45AE-AA3B-1F0D1255C431}"/>
            </a:ext>
          </a:extLst>
        </xdr:cNvPr>
        <xdr:cNvSpPr/>
      </xdr:nvSpPr>
      <xdr:spPr>
        <a:xfrm>
          <a:off x="53975" y="5810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May</a:t>
          </a:r>
        </a:p>
      </xdr:txBody>
    </xdr:sp>
    <xdr:clientData/>
  </xdr:twoCellAnchor>
  <xdr:twoCellAnchor>
    <xdr:from>
      <xdr:col>0</xdr:col>
      <xdr:colOff>53975</xdr:colOff>
      <xdr:row>11</xdr:row>
      <xdr:rowOff>114300</xdr:rowOff>
    </xdr:from>
    <xdr:to>
      <xdr:col>2</xdr:col>
      <xdr:colOff>523875</xdr:colOff>
      <xdr:row>13</xdr:row>
      <xdr:rowOff>108300</xdr:rowOff>
    </xdr:to>
    <xdr:sp macro="" textlink="">
      <xdr:nvSpPr>
        <xdr:cNvPr id="36" name="Rectangle: Rounded Corner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8DA1F0-C39D-487E-9CFB-9D174C071CEA}"/>
            </a:ext>
          </a:extLst>
        </xdr:cNvPr>
        <xdr:cNvSpPr/>
      </xdr:nvSpPr>
      <xdr:spPr>
        <a:xfrm>
          <a:off x="53975" y="47625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April</a:t>
          </a:r>
        </a:p>
      </xdr:txBody>
    </xdr:sp>
    <xdr:clientData/>
  </xdr:twoCellAnchor>
  <xdr:twoCellAnchor>
    <xdr:from>
      <xdr:col>0</xdr:col>
      <xdr:colOff>73025</xdr:colOff>
      <xdr:row>16</xdr:row>
      <xdr:rowOff>298449</xdr:rowOff>
    </xdr:from>
    <xdr:to>
      <xdr:col>2</xdr:col>
      <xdr:colOff>542925</xdr:colOff>
      <xdr:row>18</xdr:row>
      <xdr:rowOff>292449</xdr:rowOff>
    </xdr:to>
    <xdr:sp macro="" textlink="">
      <xdr:nvSpPr>
        <xdr:cNvPr id="37" name="Rectangle: Rounded Corner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EC5E1D-00CA-439E-A3C5-5009B924073C}"/>
            </a:ext>
          </a:extLst>
        </xdr:cNvPr>
        <xdr:cNvSpPr/>
      </xdr:nvSpPr>
      <xdr:spPr>
        <a:xfrm>
          <a:off x="73025" y="6851649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tx1"/>
              </a:solidFill>
              <a:latin typeface="Georgia" panose="02040502050405020303" pitchFamily="18" charset="0"/>
            </a:rPr>
            <a:t>June</a:t>
          </a:r>
        </a:p>
      </xdr:txBody>
    </xdr:sp>
    <xdr:clientData/>
  </xdr:twoCellAnchor>
  <xdr:twoCellAnchor>
    <xdr:from>
      <xdr:col>0</xdr:col>
      <xdr:colOff>53975</xdr:colOff>
      <xdr:row>4</xdr:row>
      <xdr:rowOff>107950</xdr:rowOff>
    </xdr:from>
    <xdr:to>
      <xdr:col>2</xdr:col>
      <xdr:colOff>523875</xdr:colOff>
      <xdr:row>5</xdr:row>
      <xdr:rowOff>482950</xdr:rowOff>
    </xdr:to>
    <xdr:sp macro="" textlink="">
      <xdr:nvSpPr>
        <xdr:cNvPr id="38" name="Rectangle: Rounded Corner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6E5EC61-6172-411C-9974-A7A143630DE8}"/>
            </a:ext>
          </a:extLst>
        </xdr:cNvPr>
        <xdr:cNvSpPr/>
      </xdr:nvSpPr>
      <xdr:spPr>
        <a:xfrm>
          <a:off x="53975" y="1631950"/>
          <a:ext cx="1689100" cy="756000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0</xdr:col>
      <xdr:colOff>53975</xdr:colOff>
      <xdr:row>19</xdr:row>
      <xdr:rowOff>228600</xdr:rowOff>
    </xdr:from>
    <xdr:to>
      <xdr:col>2</xdr:col>
      <xdr:colOff>523875</xdr:colOff>
      <xdr:row>21</xdr:row>
      <xdr:rowOff>222600</xdr:rowOff>
    </xdr:to>
    <xdr:sp macro="" textlink="">
      <xdr:nvSpPr>
        <xdr:cNvPr id="39" name="Rectangle: Rounded Corner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171DCE-872C-4F68-82E5-175223C96436}"/>
            </a:ext>
          </a:extLst>
        </xdr:cNvPr>
        <xdr:cNvSpPr/>
      </xdr:nvSpPr>
      <xdr:spPr>
        <a:xfrm>
          <a:off x="53975" y="79248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July</a:t>
          </a:r>
        </a:p>
      </xdr:txBody>
    </xdr:sp>
    <xdr:clientData/>
  </xdr:twoCellAnchor>
  <xdr:twoCellAnchor>
    <xdr:from>
      <xdr:col>0</xdr:col>
      <xdr:colOff>53975</xdr:colOff>
      <xdr:row>22</xdr:row>
      <xdr:rowOff>165100</xdr:rowOff>
    </xdr:from>
    <xdr:to>
      <xdr:col>2</xdr:col>
      <xdr:colOff>523875</xdr:colOff>
      <xdr:row>24</xdr:row>
      <xdr:rowOff>159100</xdr:rowOff>
    </xdr:to>
    <xdr:sp macro="" textlink="">
      <xdr:nvSpPr>
        <xdr:cNvPr id="40" name="Rectangle: Rounded Corner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A23F7A-33F0-4B66-A2BA-DE4E64A4FBB5}"/>
            </a:ext>
          </a:extLst>
        </xdr:cNvPr>
        <xdr:cNvSpPr/>
      </xdr:nvSpPr>
      <xdr:spPr>
        <a:xfrm>
          <a:off x="53975" y="900430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August</a:t>
          </a:r>
        </a:p>
      </xdr:txBody>
    </xdr:sp>
    <xdr:clientData/>
  </xdr:twoCellAnchor>
  <xdr:twoCellAnchor>
    <xdr:from>
      <xdr:col>0</xdr:col>
      <xdr:colOff>53975</xdr:colOff>
      <xdr:row>25</xdr:row>
      <xdr:rowOff>34925</xdr:rowOff>
    </xdr:from>
    <xdr:to>
      <xdr:col>2</xdr:col>
      <xdr:colOff>523875</xdr:colOff>
      <xdr:row>27</xdr:row>
      <xdr:rowOff>28925</xdr:rowOff>
    </xdr:to>
    <xdr:sp macro="" textlink="">
      <xdr:nvSpPr>
        <xdr:cNvPr id="41" name="Rectangle: Rounded Corner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EE553A-7EBA-4724-9445-F78191334E9B}"/>
            </a:ext>
          </a:extLst>
        </xdr:cNvPr>
        <xdr:cNvSpPr/>
      </xdr:nvSpPr>
      <xdr:spPr>
        <a:xfrm>
          <a:off x="53975" y="1001712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53975</xdr:colOff>
      <xdr:row>27</xdr:row>
      <xdr:rowOff>295275</xdr:rowOff>
    </xdr:from>
    <xdr:to>
      <xdr:col>2</xdr:col>
      <xdr:colOff>523875</xdr:colOff>
      <xdr:row>29</xdr:row>
      <xdr:rowOff>289275</xdr:rowOff>
    </xdr:to>
    <xdr:sp macro="" textlink="">
      <xdr:nvSpPr>
        <xdr:cNvPr id="42" name="Rectangle: Rounded Corner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35CDFB9-09B3-40E0-85D6-9241B59F2E4A}"/>
            </a:ext>
          </a:extLst>
        </xdr:cNvPr>
        <xdr:cNvSpPr/>
      </xdr:nvSpPr>
      <xdr:spPr>
        <a:xfrm>
          <a:off x="53975" y="11039475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October</a:t>
          </a:r>
        </a:p>
      </xdr:txBody>
    </xdr:sp>
    <xdr:clientData/>
  </xdr:twoCellAnchor>
  <xdr:twoCellAnchor>
    <xdr:from>
      <xdr:col>0</xdr:col>
      <xdr:colOff>53975</xdr:colOff>
      <xdr:row>30</xdr:row>
      <xdr:rowOff>146050</xdr:rowOff>
    </xdr:from>
    <xdr:to>
      <xdr:col>2</xdr:col>
      <xdr:colOff>523875</xdr:colOff>
      <xdr:row>32</xdr:row>
      <xdr:rowOff>140050</xdr:rowOff>
    </xdr:to>
    <xdr:sp macro="" textlink="">
      <xdr:nvSpPr>
        <xdr:cNvPr id="43" name="Rectangle: Rounded Corners 4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BC40197-DAA2-4AEA-9F15-CF705DC960CA}"/>
            </a:ext>
          </a:extLst>
        </xdr:cNvPr>
        <xdr:cNvSpPr/>
      </xdr:nvSpPr>
      <xdr:spPr>
        <a:xfrm>
          <a:off x="53975" y="12033250"/>
          <a:ext cx="1689100" cy="75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latin typeface="Georgia" panose="02040502050405020303" pitchFamily="18" charset="0"/>
            </a:rPr>
            <a:t>November</a:t>
          </a:r>
        </a:p>
      </xdr:txBody>
    </xdr:sp>
    <xdr:clientData/>
  </xdr:twoCellAnchor>
  <xdr:twoCellAnchor>
    <xdr:from>
      <xdr:col>1</xdr:col>
      <xdr:colOff>15875</xdr:colOff>
      <xdr:row>32</xdr:row>
      <xdr:rowOff>374649</xdr:rowOff>
    </xdr:from>
    <xdr:to>
      <xdr:col>3</xdr:col>
      <xdr:colOff>485775</xdr:colOff>
      <xdr:row>34</xdr:row>
      <xdr:rowOff>368649</xdr:rowOff>
    </xdr:to>
    <xdr:sp macro="" textlink="">
      <xdr:nvSpPr>
        <xdr:cNvPr id="44" name="Rectangle: Rounded Corner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ACEE4CA-BD42-44CB-A0D4-2C179A8882C1}"/>
            </a:ext>
          </a:extLst>
        </xdr:cNvPr>
        <xdr:cNvSpPr/>
      </xdr:nvSpPr>
      <xdr:spPr>
        <a:xfrm>
          <a:off x="625475" y="13023849"/>
          <a:ext cx="1689100" cy="756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Georgia" panose="02040502050405020303" pitchFamily="18" charset="0"/>
            </a:rPr>
            <a:t>December</a:t>
          </a:r>
        </a:p>
      </xdr:txBody>
    </xdr:sp>
    <xdr:clientData/>
  </xdr:twoCellAnchor>
  <xdr:twoCellAnchor>
    <xdr:from>
      <xdr:col>2</xdr:col>
      <xdr:colOff>584198</xdr:colOff>
      <xdr:row>0</xdr:row>
      <xdr:rowOff>0</xdr:rowOff>
    </xdr:from>
    <xdr:to>
      <xdr:col>41</xdr:col>
      <xdr:colOff>19050</xdr:colOff>
      <xdr:row>2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4435878A-B1BE-422A-B8C6-1D4F44A80534}"/>
            </a:ext>
          </a:extLst>
        </xdr:cNvPr>
        <xdr:cNvSpPr/>
      </xdr:nvSpPr>
      <xdr:spPr>
        <a:xfrm>
          <a:off x="1803398" y="0"/>
          <a:ext cx="33153352" cy="7905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19050</xdr:colOff>
      <xdr:row>0</xdr:row>
      <xdr:rowOff>19050</xdr:rowOff>
    </xdr:from>
    <xdr:to>
      <xdr:col>57</xdr:col>
      <xdr:colOff>0</xdr:colOff>
      <xdr:row>4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66F71BB-398E-4CCC-A39F-D7AE6126BFFE}"/>
            </a:ext>
          </a:extLst>
        </xdr:cNvPr>
        <xdr:cNvSpPr/>
      </xdr:nvSpPr>
      <xdr:spPr>
        <a:xfrm>
          <a:off x="36233100" y="19050"/>
          <a:ext cx="15144750" cy="1543050"/>
        </a:xfrm>
        <a:prstGeom prst="rect">
          <a:avLst/>
        </a:prstGeom>
        <a:solidFill>
          <a:srgbClr val="C4C81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7</xdr:col>
      <xdr:colOff>266700</xdr:colOff>
      <xdr:row>1</xdr:row>
      <xdr:rowOff>285750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39117B4D-DA35-44E5-A478-3A3597E712E5}"/>
            </a:ext>
          </a:extLst>
        </xdr:cNvPr>
        <xdr:cNvSpPr/>
      </xdr:nvSpPr>
      <xdr:spPr>
        <a:xfrm>
          <a:off x="3657600" y="152400"/>
          <a:ext cx="1209675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FROM</a:t>
          </a:r>
        </a:p>
      </xdr:txBody>
    </xdr:sp>
    <xdr:clientData/>
  </xdr:twoCellAnchor>
  <xdr:twoCellAnchor>
    <xdr:from>
      <xdr:col>9</xdr:col>
      <xdr:colOff>666749</xdr:colOff>
      <xdr:row>0</xdr:row>
      <xdr:rowOff>161925</xdr:rowOff>
    </xdr:from>
    <xdr:to>
      <xdr:col>12</xdr:col>
      <xdr:colOff>95249</xdr:colOff>
      <xdr:row>1</xdr:row>
      <xdr:rowOff>295275</xdr:rowOff>
    </xdr:to>
    <xdr:sp macro="" textlink="$O$4">
      <xdr:nvSpPr>
        <xdr:cNvPr id="48" name="Rectangle: Rounded Corners 47">
          <a:extLst>
            <a:ext uri="{FF2B5EF4-FFF2-40B4-BE49-F238E27FC236}">
              <a16:creationId xmlns:a16="http://schemas.microsoft.com/office/drawing/2014/main" id="{0A8B0311-D9A4-4DB8-85E3-D825FCFB84DA}"/>
            </a:ext>
          </a:extLst>
        </xdr:cNvPr>
        <xdr:cNvSpPr/>
      </xdr:nvSpPr>
      <xdr:spPr>
        <a:xfrm>
          <a:off x="7991474" y="161925"/>
          <a:ext cx="1828800" cy="514350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99BFBFC-7237-4293-A8A2-27E744D8C3FA}" type="TxLink">
            <a:rPr lang="en-US" sz="1800" b="1" i="0" u="none" strike="noStrike">
              <a:solidFill>
                <a:schemeClr val="bg1">
                  <a:lumMod val="50000"/>
                </a:schemeClr>
              </a:solidFill>
              <a:latin typeface="Georgia"/>
              <a:ea typeface="+mn-ea"/>
              <a:cs typeface="+mn-cs"/>
            </a:rPr>
            <a:pPr marL="0" indent="0" algn="ctr"/>
            <a:t>31-Dec-25</a:t>
          </a:fld>
          <a:endParaRPr lang="en-IN" sz="18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247649</xdr:colOff>
      <xdr:row>0</xdr:row>
      <xdr:rowOff>142875</xdr:rowOff>
    </xdr:from>
    <xdr:to>
      <xdr:col>8</xdr:col>
      <xdr:colOff>990599</xdr:colOff>
      <xdr:row>1</xdr:row>
      <xdr:rowOff>276225</xdr:rowOff>
    </xdr:to>
    <xdr:sp macro="" textlink="$I$4">
      <xdr:nvSpPr>
        <xdr:cNvPr id="49" name="Rectangle: Rounded Corners 48">
          <a:extLst>
            <a:ext uri="{FF2B5EF4-FFF2-40B4-BE49-F238E27FC236}">
              <a16:creationId xmlns:a16="http://schemas.microsoft.com/office/drawing/2014/main" id="{CC1EEDD2-637D-4606-A880-3B7107C6E5B4}"/>
            </a:ext>
          </a:extLst>
        </xdr:cNvPr>
        <xdr:cNvSpPr/>
      </xdr:nvSpPr>
      <xdr:spPr>
        <a:xfrm>
          <a:off x="4848224" y="142875"/>
          <a:ext cx="1762125" cy="514350"/>
        </a:xfrm>
        <a:prstGeom prst="roundRect">
          <a:avLst/>
        </a:prstGeom>
        <a:solidFill>
          <a:schemeClr val="bg1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F10CC9-7D29-4883-9194-132C9411F830}" type="TxLink">
            <a:rPr lang="en-US" sz="1800" b="1" i="0" u="none" strike="noStrike">
              <a:solidFill>
                <a:schemeClr val="bg1">
                  <a:lumMod val="95000"/>
                </a:schemeClr>
              </a:solidFill>
              <a:latin typeface="Georgia"/>
              <a:ea typeface="+mn-ea"/>
              <a:cs typeface="+mn-cs"/>
            </a:rPr>
            <a:pPr algn="ctr"/>
            <a:t>01-Dec-25</a:t>
          </a:fld>
          <a:endParaRPr lang="en-IN" sz="1800" b="1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1047749</xdr:colOff>
      <xdr:row>0</xdr:row>
      <xdr:rowOff>161925</xdr:rowOff>
    </xdr:from>
    <xdr:to>
      <xdr:col>9</xdr:col>
      <xdr:colOff>666750</xdr:colOff>
      <xdr:row>1</xdr:row>
      <xdr:rowOff>295275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E2336E37-335F-48B4-9865-0D8566C9D73E}"/>
            </a:ext>
          </a:extLst>
        </xdr:cNvPr>
        <xdr:cNvSpPr/>
      </xdr:nvSpPr>
      <xdr:spPr>
        <a:xfrm>
          <a:off x="6667499" y="161925"/>
          <a:ext cx="1323976" cy="514350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</a:t>
          </a:r>
        </a:p>
      </xdr:txBody>
    </xdr:sp>
    <xdr:clientData/>
  </xdr:twoCellAnchor>
  <xdr:twoCellAnchor editAs="oneCell">
    <xdr:from>
      <xdr:col>14</xdr:col>
      <xdr:colOff>114300</xdr:colOff>
      <xdr:row>0</xdr:row>
      <xdr:rowOff>190500</xdr:rowOff>
    </xdr:from>
    <xdr:to>
      <xdr:col>14</xdr:col>
      <xdr:colOff>806694</xdr:colOff>
      <xdr:row>1</xdr:row>
      <xdr:rowOff>323850</xdr:rowOff>
    </xdr:to>
    <xdr:pic>
      <xdr:nvPicPr>
        <xdr:cNvPr id="51" name="Graphic 50" descr="Research with solid fill">
          <a:extLst>
            <a:ext uri="{FF2B5EF4-FFF2-40B4-BE49-F238E27FC236}">
              <a16:creationId xmlns:a16="http://schemas.microsoft.com/office/drawing/2014/main" id="{C21BED77-1162-40D3-B138-564F4FA09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439525" y="190500"/>
          <a:ext cx="692394" cy="5143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152400</xdr:rowOff>
    </xdr:from>
    <xdr:to>
      <xdr:col>23</xdr:col>
      <xdr:colOff>57150</xdr:colOff>
      <xdr:row>1</xdr:row>
      <xdr:rowOff>304800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903B97F4-56A3-4BF1-BD1F-D22A006559FC}"/>
            </a:ext>
          </a:extLst>
        </xdr:cNvPr>
        <xdr:cNvSpPr/>
      </xdr:nvSpPr>
      <xdr:spPr>
        <a:xfrm>
          <a:off x="10525125" y="152400"/>
          <a:ext cx="9267825" cy="533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13</xdr:col>
      <xdr:colOff>190500</xdr:colOff>
      <xdr:row>0</xdr:row>
      <xdr:rowOff>171450</xdr:rowOff>
    </xdr:from>
    <xdr:to>
      <xdr:col>13</xdr:col>
      <xdr:colOff>685800</xdr:colOff>
      <xdr:row>1</xdr:row>
      <xdr:rowOff>285750</xdr:rowOff>
    </xdr:to>
    <xdr:pic>
      <xdr:nvPicPr>
        <xdr:cNvPr id="53" name="Graphic 52" descr="Research with solid fill">
          <a:extLst>
            <a:ext uri="{FF2B5EF4-FFF2-40B4-BE49-F238E27FC236}">
              <a16:creationId xmlns:a16="http://schemas.microsoft.com/office/drawing/2014/main" id="{6C2CBA3C-BF73-465B-B440-0F11A2D1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715625" y="171450"/>
          <a:ext cx="495300" cy="49530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0</xdr:row>
      <xdr:rowOff>228600</xdr:rowOff>
    </xdr:from>
    <xdr:to>
      <xdr:col>21</xdr:col>
      <xdr:colOff>209550</xdr:colOff>
      <xdr:row>1</xdr:row>
      <xdr:rowOff>266700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4434EBF-EC89-4385-9D4D-7CCB63C7A9D9}"/>
            </a:ext>
          </a:extLst>
        </xdr:cNvPr>
        <xdr:cNvSpPr txBox="1"/>
      </xdr:nvSpPr>
      <xdr:spPr>
        <a:xfrm>
          <a:off x="11382375" y="228600"/>
          <a:ext cx="638175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DASHBAORD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 OF </a:t>
          </a:r>
          <a:r>
            <a:rPr lang="en-IN" sz="1050" b="1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DASH BOARD </a:t>
          </a:r>
          <a:r>
            <a:rPr lang="en-IN" sz="1050" b="1" baseline="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FOR THE MONTH</a:t>
          </a:r>
          <a:endParaRPr lang="en-IN" sz="1100"/>
        </a:p>
      </xdr:txBody>
    </xdr:sp>
    <xdr:clientData/>
  </xdr:twoCellAnchor>
  <xdr:twoCellAnchor>
    <xdr:from>
      <xdr:col>20</xdr:col>
      <xdr:colOff>685800</xdr:colOff>
      <xdr:row>0</xdr:row>
      <xdr:rowOff>266700</xdr:rowOff>
    </xdr:from>
    <xdr:to>
      <xdr:col>22</xdr:col>
      <xdr:colOff>419100</xdr:colOff>
      <xdr:row>1</xdr:row>
      <xdr:rowOff>247650</xdr:rowOff>
    </xdr:to>
    <xdr:sp macro="" textlink="$L$4">
      <xdr:nvSpPr>
        <xdr:cNvPr id="55" name="Rectangle 54">
          <a:extLst>
            <a:ext uri="{FF2B5EF4-FFF2-40B4-BE49-F238E27FC236}">
              <a16:creationId xmlns:a16="http://schemas.microsoft.com/office/drawing/2014/main" id="{25FEA3A0-9A67-4828-AFC0-E9F867DA41DC}"/>
            </a:ext>
          </a:extLst>
        </xdr:cNvPr>
        <xdr:cNvSpPr/>
      </xdr:nvSpPr>
      <xdr:spPr>
        <a:xfrm>
          <a:off x="17440275" y="266700"/>
          <a:ext cx="191452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8DE4DAB-EE15-49C4-922C-6329576B9DFE}" type="TxLink">
            <a:rPr lang="en-US" sz="1100" b="1" i="0" u="none" strike="noStrike">
              <a:solidFill>
                <a:srgbClr val="CC3300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pPr algn="l"/>
            <a:t>December</a:t>
          </a:fld>
          <a:endParaRPr lang="en-IN" sz="1100" b="1">
            <a:solidFill>
              <a:srgbClr val="CC3300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266700</xdr:colOff>
      <xdr:row>0</xdr:row>
      <xdr:rowOff>114300</xdr:rowOff>
    </xdr:from>
    <xdr:to>
      <xdr:col>26</xdr:col>
      <xdr:colOff>95250</xdr:colOff>
      <xdr:row>1</xdr:row>
      <xdr:rowOff>228600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ABA8523-352C-4FE7-9F19-C398F4BD2B0B}"/>
            </a:ext>
          </a:extLst>
        </xdr:cNvPr>
        <xdr:cNvSpPr txBox="1"/>
      </xdr:nvSpPr>
      <xdr:spPr>
        <a:xfrm>
          <a:off x="20802600" y="114300"/>
          <a:ext cx="1238250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 editAs="oneCell">
    <xdr:from>
      <xdr:col>23</xdr:col>
      <xdr:colOff>146049</xdr:colOff>
      <xdr:row>0</xdr:row>
      <xdr:rowOff>114300</xdr:rowOff>
    </xdr:from>
    <xdr:to>
      <xdr:col>23</xdr:col>
      <xdr:colOff>781051</xdr:colOff>
      <xdr:row>1</xdr:row>
      <xdr:rowOff>344488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B0C38F8-7023-4B05-96E0-84B65EECE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81849" y="114300"/>
          <a:ext cx="635002" cy="611188"/>
        </a:xfrm>
        <a:prstGeom prst="rect">
          <a:avLst/>
        </a:prstGeom>
      </xdr:spPr>
    </xdr:pic>
    <xdr:clientData/>
  </xdr:twoCellAnchor>
  <xdr:twoCellAnchor>
    <xdr:from>
      <xdr:col>27</xdr:col>
      <xdr:colOff>298449</xdr:colOff>
      <xdr:row>0</xdr:row>
      <xdr:rowOff>152400</xdr:rowOff>
    </xdr:from>
    <xdr:to>
      <xdr:col>29</xdr:col>
      <xdr:colOff>114300</xdr:colOff>
      <xdr:row>1</xdr:row>
      <xdr:rowOff>266700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E5AA7A0-CA2C-4D71-875B-DEFC2859E080}"/>
            </a:ext>
          </a:extLst>
        </xdr:cNvPr>
        <xdr:cNvSpPr txBox="1"/>
      </xdr:nvSpPr>
      <xdr:spPr>
        <a:xfrm>
          <a:off x="22853649" y="152400"/>
          <a:ext cx="1806576" cy="4953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 editAs="oneCell">
    <xdr:from>
      <xdr:col>26</xdr:col>
      <xdr:colOff>165098</xdr:colOff>
      <xdr:row>0</xdr:row>
      <xdr:rowOff>76200</xdr:rowOff>
    </xdr:from>
    <xdr:to>
      <xdr:col>27</xdr:col>
      <xdr:colOff>264851</xdr:colOff>
      <xdr:row>1</xdr:row>
      <xdr:rowOff>304800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B9588EC-645C-439B-A078-FF40FF2A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10698" y="76200"/>
          <a:ext cx="709353" cy="6096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0</xdr:row>
      <xdr:rowOff>114300</xdr:rowOff>
    </xdr:from>
    <xdr:to>
      <xdr:col>30</xdr:col>
      <xdr:colOff>133350</xdr:colOff>
      <xdr:row>1</xdr:row>
      <xdr:rowOff>323850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8DFA202-8C55-473D-A7CC-58CF29B8E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850724" y="114300"/>
          <a:ext cx="647701" cy="590550"/>
        </a:xfrm>
        <a:prstGeom prst="rect">
          <a:avLst/>
        </a:prstGeom>
      </xdr:spPr>
    </xdr:pic>
    <xdr:clientData/>
  </xdr:twoCellAnchor>
  <xdr:twoCellAnchor>
    <xdr:from>
      <xdr:col>30</xdr:col>
      <xdr:colOff>266700</xdr:colOff>
      <xdr:row>0</xdr:row>
      <xdr:rowOff>114300</xdr:rowOff>
    </xdr:from>
    <xdr:to>
      <xdr:col>32</xdr:col>
      <xdr:colOff>114300</xdr:colOff>
      <xdr:row>1</xdr:row>
      <xdr:rowOff>304800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5312175-2FBD-4D90-9EDC-8B3F54896F2B}"/>
            </a:ext>
          </a:extLst>
        </xdr:cNvPr>
        <xdr:cNvSpPr/>
      </xdr:nvSpPr>
      <xdr:spPr>
        <a:xfrm>
          <a:off x="25631775" y="114300"/>
          <a:ext cx="1485900" cy="5715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  <a:p>
          <a:pPr algn="ctr"/>
          <a:endParaRPr lang="en-IN" sz="18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3207EF-3297-4B89-9975-52F3308B8B12}" name="JanReport" displayName="JanReport" ref="AR7:BE27" totalsRowShown="0" headerRowDxfId="267" dataDxfId="265" headerRowBorderDxfId="266" tableBorderDxfId="264">
  <autoFilter ref="AR7:BE27" xr:uid="{2D3207EF-3297-4B89-9975-52F3308B8B12}"/>
  <tableColumns count="14">
    <tableColumn id="1" xr3:uid="{80822BAE-89E0-4B3C-A7E8-3BD215CE0E03}" name="SR NO" dataDxfId="263"/>
    <tableColumn id="2" xr3:uid="{402F18C5-2EF0-4B0D-BD2C-1C96674E64AE}" name="EMPL ID" dataDxfId="262"/>
    <tableColumn id="14" xr3:uid="{8999B050-0D0D-44F1-8957-F80346543280}" name="MONTH" dataDxfId="261">
      <calculatedColumnFormula>$L$4</calculatedColumnFormula>
    </tableColumn>
    <tableColumn id="3" xr3:uid="{C9DF46FD-7442-45E8-8C9B-20D51BFF7786}" name="EMP NAME" dataDxfId="260"/>
    <tableColumn id="4" xr3:uid="{8AEC9A50-5EAB-44BC-A233-A17A36E95EA2}" name="PRESENT" dataDxfId="259">
      <calculatedColumnFormula>COUNTIF($K8:$AO8,"*P*")</calculatedColumnFormula>
    </tableColumn>
    <tableColumn id="5" xr3:uid="{CB241158-D4B3-439C-89C7-3A7CA65896E8}" name="ABSENT" dataDxfId="258">
      <calculatedColumnFormula>COUNTIF($K8:$AO8,"A")</calculatedColumnFormula>
    </tableColumn>
    <tableColumn id="6" xr3:uid="{EF3611CE-91EF-45E4-9F6B-4D9D2C67B688}" name="LEAVE" dataDxfId="257">
      <calculatedColumnFormula>COUNTIF($K8:$AO8,"L")</calculatedColumnFormula>
    </tableColumn>
    <tableColumn id="7" xr3:uid="{B77B9277-8112-44FE-9E49-7564FCDEC3D5}" name="WEEK OFF " dataDxfId="256">
      <calculatedColumnFormula>$J$8</calculatedColumnFormula>
    </tableColumn>
    <tableColumn id="8" xr3:uid="{1599121E-A147-4BF2-AB27-3F15034AD58B}" name="DAYS" dataDxfId="255">
      <calculatedColumnFormula>$K$4</calculatedColumnFormula>
    </tableColumn>
    <tableColumn id="9" xr3:uid="{997729D0-A6A8-4177-B067-24B06ACAEE26}" name="PAID DAYS" dataDxfId="254">
      <calculatedColumnFormula>(AZ8-AW8)</calculatedColumnFormula>
    </tableColumn>
    <tableColumn id="10" xr3:uid="{F528CFA9-CDF8-4B8A-8D9F-BBAA122F60CB}" name="SALARY" dataDxfId="253"/>
    <tableColumn id="11" xr3:uid="{990B3B39-C963-42C2-84DD-084A43D13960}" name=" DEDUCTION" dataDxfId="252">
      <calculatedColumnFormula>JanReport[[#This Row],[SALARY]]/JanReport[[#This Row],[DAYS]]</calculatedColumnFormula>
    </tableColumn>
    <tableColumn id="12" xr3:uid="{2366ECBD-82DD-458D-8829-4C7EABEB6AC2}" name="NET SALARY" dataDxfId="251">
      <calculatedColumnFormula>JanReport[[#This Row],[SALARY]]-JanReport[[#This Row],[ DEDUCTION]]</calculatedColumnFormula>
    </tableColumn>
    <tableColumn id="13" xr3:uid="{281DC018-C4BF-462E-8BAE-DD2CA45E0B54}" name="SPARKLINE" dataDxfId="2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71822F-9CD7-47C8-9006-AC9A5E6A01B3}" name="FebReport" displayName="FebReport" ref="AR7:BE27" totalsRowShown="0" headerRowDxfId="249" dataDxfId="248" tableBorderDxfId="247">
  <autoFilter ref="AR7:BE27" xr:uid="{B371822F-9CD7-47C8-9006-AC9A5E6A01B3}"/>
  <tableColumns count="14">
    <tableColumn id="1" xr3:uid="{825E8506-8914-4A01-A5C8-6D637CEFE88C}" name="SR NO" dataDxfId="246"/>
    <tableColumn id="2" xr3:uid="{C98E3387-6510-45D1-9EF2-A45A4B545D17}" name="EMPL ID" dataDxfId="245"/>
    <tableColumn id="14" xr3:uid="{52900C25-413E-40C8-8CE8-0EF2F0DEA400}" name="MONTH" dataDxfId="244">
      <calculatedColumnFormula>$L$4</calculatedColumnFormula>
    </tableColumn>
    <tableColumn id="3" xr3:uid="{85D59DD3-0DA1-446C-A6B8-F1D7CAD704E8}" name="EMP NAME" dataDxfId="243"/>
    <tableColumn id="4" xr3:uid="{91AD25DE-41AA-4110-9B69-EE0D7007AA8C}" name="PRESENT" dataDxfId="242">
      <calculatedColumnFormula>COUNTIF($K8:$AO8,"*P*")</calculatedColumnFormula>
    </tableColumn>
    <tableColumn id="5" xr3:uid="{039F0F53-26FE-4F24-A50B-6FB62BE52FCB}" name="ABSENT" dataDxfId="241">
      <calculatedColumnFormula>COUNTIF($K8:$AO8,"*A*")</calculatedColumnFormula>
    </tableColumn>
    <tableColumn id="6" xr3:uid="{28434588-B10C-4A4E-9E7D-D2FCB180181D}" name="LEAVE" dataDxfId="240">
      <calculatedColumnFormula>COUNTIF($K8:$AO8,"*L*")</calculatedColumnFormula>
    </tableColumn>
    <tableColumn id="7" xr3:uid="{7CBB9B83-2F18-4FD6-8385-98A06F807029}" name="WEEK OFF " dataDxfId="239">
      <calculatedColumnFormula>$J$8</calculatedColumnFormula>
    </tableColumn>
    <tableColumn id="8" xr3:uid="{EC53A4D8-C309-4363-B4A9-E5BAE2CDCDA7}" name="DAYS" dataDxfId="238">
      <calculatedColumnFormula>$K$4</calculatedColumnFormula>
    </tableColumn>
    <tableColumn id="9" xr3:uid="{36BF814A-DD0D-4885-85FC-AD79305BFDBD}" name="PAID DAYS" dataDxfId="237">
      <calculatedColumnFormula>(AZ8-AW8)</calculatedColumnFormula>
    </tableColumn>
    <tableColumn id="10" xr3:uid="{D1E9EE3C-81B4-4E19-B145-D75AFECA3870}" name="SALARY" dataDxfId="236"/>
    <tableColumn id="11" xr3:uid="{74301616-53FC-4D94-8C99-FC52A9D3F0AC}" name=" DEDUCTION" dataDxfId="235">
      <calculatedColumnFormula>FebReport[[#This Row],[SALARY]]/FebReport[[#This Row],[PAID DAYS]]</calculatedColumnFormula>
    </tableColumn>
    <tableColumn id="12" xr3:uid="{E5637FD5-3703-4549-9347-195097421309}" name="NET SALARY" dataDxfId="234">
      <calculatedColumnFormula>FebReport[[#This Row],[SALARY]]-FebReport[[#This Row],[ DEDUCTION]]</calculatedColumnFormula>
    </tableColumn>
    <tableColumn id="13" xr3:uid="{C65BAE5B-5D1C-40EB-9191-58327C3755B2}" name="SPARKLINE" dataDxfId="2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5E4130-D52C-4422-A710-8A2F11D1F3AA}" name="MarchReport" displayName="MarchReport" ref="AR7:BE27" totalsRowShown="0" headerRowDxfId="232" dataDxfId="230" headerRowBorderDxfId="231" tableBorderDxfId="229">
  <autoFilter ref="AR7:BE27" xr:uid="{1C5E4130-D52C-4422-A710-8A2F11D1F3AA}"/>
  <tableColumns count="14">
    <tableColumn id="1" xr3:uid="{05F75EDF-97E8-4322-B544-AC206891AED6}" name="SR NO" dataDxfId="228"/>
    <tableColumn id="2" xr3:uid="{69B6D5C7-293E-464A-B279-B3198F0FDC48}" name="EMPL ID" dataDxfId="227"/>
    <tableColumn id="14" xr3:uid="{1ECC2FDD-07F2-46DA-B44E-BC27F3B98335}" name="MONTH" dataDxfId="226">
      <calculatedColumnFormula>$L$4</calculatedColumnFormula>
    </tableColumn>
    <tableColumn id="3" xr3:uid="{BE7093D7-94B3-452C-A450-AA783CD33116}" name="EMP NAME" dataDxfId="225"/>
    <tableColumn id="4" xr3:uid="{372E0B2D-C931-4D88-8927-E58847C76462}" name="PRESENT" dataDxfId="224">
      <calculatedColumnFormula>COUNTIF($K$8:$AO$8,"P")</calculatedColumnFormula>
    </tableColumn>
    <tableColumn id="5" xr3:uid="{FAE33544-9754-4450-AF04-E42318851689}" name="ABSENT" dataDxfId="223">
      <calculatedColumnFormula>COUNTIF($K8:$AO8,"*A*")</calculatedColumnFormula>
    </tableColumn>
    <tableColumn id="6" xr3:uid="{AFB08173-6957-4C40-9EAB-940791FA5B62}" name="LEAVE" dataDxfId="222">
      <calculatedColumnFormula>COUNTIF($K8:$AO8,"*L*")</calculatedColumnFormula>
    </tableColumn>
    <tableColumn id="7" xr3:uid="{F7340697-DCF4-4454-9ED4-0463DF78CA0A}" name="WEEK OFF " dataDxfId="221">
      <calculatedColumnFormula>$J$8</calculatedColumnFormula>
    </tableColumn>
    <tableColumn id="8" xr3:uid="{92B09FE7-B0AA-4061-9693-C62EF37529FF}" name="DAYS" dataDxfId="220">
      <calculatedColumnFormula>$K$4</calculatedColumnFormula>
    </tableColumn>
    <tableColumn id="9" xr3:uid="{C952D99D-7C17-45E5-80DA-FD71E87B0165}" name="PAID DAYS" dataDxfId="219">
      <calculatedColumnFormula>(AZ8-AW8)</calculatedColumnFormula>
    </tableColumn>
    <tableColumn id="10" xr3:uid="{3D9AE279-3D9C-4236-968B-9E946D833D53}" name="SALARY" dataDxfId="218"/>
    <tableColumn id="11" xr3:uid="{E62071C5-2471-4BC1-9DCA-140EE2D136A9}" name=" DEDUCTION" dataDxfId="217">
      <calculatedColumnFormula>MarchReport[[#This Row],[SALARY]]/MarchReport[[#This Row],[PAID DAYS]]</calculatedColumnFormula>
    </tableColumn>
    <tableColumn id="12" xr3:uid="{0BCC4A04-B538-4846-A9DA-6C93D85DE3DC}" name="NET SALARY" dataDxfId="216">
      <calculatedColumnFormula>MarchReport[[#This Row],[SALARY]]-MarchReport[[#This Row],[ DEDUCTION]]</calculatedColumnFormula>
    </tableColumn>
    <tableColumn id="13" xr3:uid="{E2905CED-2C14-479D-A983-D171E26A215B}" name="SPARKLINE" dataDxfId="2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01140F-B7C2-4A3B-826C-4A2A5B07D83C}" name="AprilReport" displayName="AprilReport" ref="AR7:BE27" totalsRowShown="0" headerRowDxfId="214" dataDxfId="213" tableBorderDxfId="212">
  <autoFilter ref="AR7:BE27" xr:uid="{B801140F-B7C2-4A3B-826C-4A2A5B07D83C}"/>
  <tableColumns count="14">
    <tableColumn id="1" xr3:uid="{49C6DFBA-653D-43F8-9ED8-C99796F88552}" name="SR NO" dataDxfId="211"/>
    <tableColumn id="2" xr3:uid="{2C2C5D58-BC87-420A-8B43-AA8CD9BE67F9}" name="EMPL ID" dataDxfId="210"/>
    <tableColumn id="14" xr3:uid="{43A63E42-181E-4276-B336-BAC013F44C34}" name="MONTH" dataDxfId="209">
      <calculatedColumnFormula>$L$4</calculatedColumnFormula>
    </tableColumn>
    <tableColumn id="3" xr3:uid="{FEE56F2F-0131-476B-B76E-D868EB1A2370}" name="EMP NAME" dataDxfId="208"/>
    <tableColumn id="4" xr3:uid="{A62E0B14-A14D-4CB2-BFC4-951A8A332E2B}" name="PRESENT" dataDxfId="207">
      <calculatedColumnFormula>COUNTIF($K8:$AO8,"*P*")</calculatedColumnFormula>
    </tableColumn>
    <tableColumn id="5" xr3:uid="{49DBDC34-0DC0-458E-A82A-6270BB99BBC8}" name="ABSENT" dataDxfId="206">
      <calculatedColumnFormula>COUNTIF($K8:$AO8,"*A*")</calculatedColumnFormula>
    </tableColumn>
    <tableColumn id="6" xr3:uid="{AC92A82C-E47D-4869-B66F-71591D9D2A0F}" name="LEAVE" dataDxfId="205">
      <calculatedColumnFormula>COUNTIF($K8:$AO8,"*L*")</calculatedColumnFormula>
    </tableColumn>
    <tableColumn id="7" xr3:uid="{3AD0CF06-93E7-43CD-BB18-17963245126F}" name="WEEK OFF " dataDxfId="204">
      <calculatedColumnFormula>$J$8</calculatedColumnFormula>
    </tableColumn>
    <tableColumn id="8" xr3:uid="{AB77E175-58D5-4F63-9AB9-510F287BCBBE}" name="DAYS" dataDxfId="203">
      <calculatedColumnFormula>$K$4</calculatedColumnFormula>
    </tableColumn>
    <tableColumn id="9" xr3:uid="{808EB48E-33A2-4615-BDC7-ADDCFA9E38F5}" name="PAID DAYS" dataDxfId="202">
      <calculatedColumnFormula>(AZ8-AW8)</calculatedColumnFormula>
    </tableColumn>
    <tableColumn id="10" xr3:uid="{972B3626-7EBB-4964-9F34-AD148B3DE6A3}" name="SALARY" dataDxfId="201"/>
    <tableColumn id="11" xr3:uid="{4116EC7E-5A80-4F1E-8CB4-0D1DD0DDEDB6}" name=" DEDUCTION" dataDxfId="200">
      <calculatedColumnFormula>AprilReport[[#This Row],[SALARY]]/AprilReport[[#This Row],[PAID DAYS]]</calculatedColumnFormula>
    </tableColumn>
    <tableColumn id="12" xr3:uid="{3C413EC2-CD64-4650-A9A8-B6F50903067B}" name="NET SALARY" dataDxfId="199">
      <calculatedColumnFormula>AprilReport[[#This Row],[SALARY]]-AprilReport[[#This Row],[ DEDUCTION]]</calculatedColumnFormula>
    </tableColumn>
    <tableColumn id="13" xr3:uid="{A41BFC3F-38FC-46B7-B4A1-E847F58EF9DA}" name="SPARKLINE" dataDxfId="19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7C80C5-EB31-416C-9EEB-1C2FB5DE6233}" name="MayReport" displayName="MayReport" ref="AR7:BE27" totalsRowShown="0" headerRowDxfId="197" dataDxfId="195" headerRowBorderDxfId="196" tableBorderDxfId="194">
  <autoFilter ref="AR7:BE27" xr:uid="{5B7C80C5-EB31-416C-9EEB-1C2FB5DE6233}"/>
  <tableColumns count="14">
    <tableColumn id="1" xr3:uid="{999F9ABE-EBD1-47C9-AF93-B786CCA85533}" name="SR NO" dataDxfId="193"/>
    <tableColumn id="2" xr3:uid="{C983A68A-C4CB-4F0A-A574-8812D8DCFCFA}" name="EMPL ID" dataDxfId="192"/>
    <tableColumn id="14" xr3:uid="{91D4D5AA-F8AD-49FD-B96F-9FDC4FDD9843}" name="MONTH" dataDxfId="191">
      <calculatedColumnFormula>$L$4</calculatedColumnFormula>
    </tableColumn>
    <tableColumn id="3" xr3:uid="{95785DFC-245A-44FF-9D9C-3771B59C0705}" name="EMP NAME" dataDxfId="190"/>
    <tableColumn id="4" xr3:uid="{7BB22490-7B50-4193-965F-5FFDD6136D61}" name="PRESENT" dataDxfId="189">
      <calculatedColumnFormula>COUNTIF($K8:$AO8,"*P*")</calculatedColumnFormula>
    </tableColumn>
    <tableColumn id="5" xr3:uid="{7225480E-D567-4DD8-BA15-6437FFFB5E6A}" name="ABSENT" dataDxfId="188">
      <calculatedColumnFormula>COUNTIF($K8:$AO8,"*A*")</calculatedColumnFormula>
    </tableColumn>
    <tableColumn id="6" xr3:uid="{276C3AE9-011B-4F47-96FE-67D5CF39F3DB}" name="LEAVE" dataDxfId="187">
      <calculatedColumnFormula>COUNTIF($K8:$AO8,"*L*")</calculatedColumnFormula>
    </tableColumn>
    <tableColumn id="7" xr3:uid="{108403FC-3536-4245-9966-5F3AE3541806}" name="WEEK OFF " dataDxfId="186">
      <calculatedColumnFormula>$J$8</calculatedColumnFormula>
    </tableColumn>
    <tableColumn id="8" xr3:uid="{46A3DEF3-8D95-4882-B4ED-85E3FB8B7DBF}" name="DAYS" dataDxfId="185">
      <calculatedColumnFormula>$K$4</calculatedColumnFormula>
    </tableColumn>
    <tableColumn id="9" xr3:uid="{36AE624B-C816-4910-9C43-561A79CF3397}" name="PAID DAYS" dataDxfId="184">
      <calculatedColumnFormula>(AZ8-AW8)</calculatedColumnFormula>
    </tableColumn>
    <tableColumn id="10" xr3:uid="{2AA9EE4F-800B-46FE-91EA-F5A7826384EE}" name="SALARY" dataDxfId="183"/>
    <tableColumn id="11" xr3:uid="{F124AA90-2EB1-400E-809D-8B54D6D16CD6}" name=" DEDUCTION" dataDxfId="182">
      <calculatedColumnFormula>MayReport[[#This Row],[SALARY]]/MayReport[[#This Row],[PAID DAYS]]</calculatedColumnFormula>
    </tableColumn>
    <tableColumn id="12" xr3:uid="{17C44FA4-44AA-4DAC-A2D0-72CF9B95FA56}" name="NET SALARY" dataDxfId="181">
      <calculatedColumnFormula>MayReport[[#This Row],[SALARY]]-MayReport[[#This Row],[ DEDUCTION]]</calculatedColumnFormula>
    </tableColumn>
    <tableColumn id="13" xr3:uid="{AA7D0F9A-64EF-40C8-BE01-07A4292C0378}" name="SPARKLINE" dataDxfId="18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19618D-EFFE-4C87-98AF-B733D14FE09A}" name="JuneReport" displayName="JuneReport" ref="AR7:BE27" totalsRowShown="0" headerRowDxfId="179" dataDxfId="178" tableBorderDxfId="177">
  <autoFilter ref="AR7:BE27" xr:uid="{4119618D-EFFE-4C87-98AF-B733D14FE09A}"/>
  <tableColumns count="14">
    <tableColumn id="1" xr3:uid="{60E7D2F2-B39B-4431-B2D7-3E3B5A485565}" name="SR NO" dataDxfId="176"/>
    <tableColumn id="2" xr3:uid="{9A472554-DC22-4DB0-BC97-F0676832F3CB}" name="EMPL ID" dataDxfId="175"/>
    <tableColumn id="14" xr3:uid="{022A0C7E-9E8A-4568-B5D8-9C8D0F7FF5F3}" name="MONTH" dataDxfId="174">
      <calculatedColumnFormula>$L$4</calculatedColumnFormula>
    </tableColumn>
    <tableColumn id="3" xr3:uid="{B5243D78-DC54-44F2-8B3C-35DA6F5AD717}" name="EMP NAME" dataDxfId="173"/>
    <tableColumn id="4" xr3:uid="{7E1B70A2-A98D-4100-96A4-FBECD90CBE75}" name="PRESENT" dataDxfId="172">
      <calculatedColumnFormula>COUNTIF($K8:$AO8,"*P*")</calculatedColumnFormula>
    </tableColumn>
    <tableColumn id="5" xr3:uid="{DD4ECA42-DDE3-4F17-9B67-72EA826C2E37}" name="ABSENT" dataDxfId="171">
      <calculatedColumnFormula>COUNTIF($K8:$AO8,"*A*")</calculatedColumnFormula>
    </tableColumn>
    <tableColumn id="6" xr3:uid="{27B1FD8D-C207-4D1C-AA56-EBEFD848DE5B}" name="LEAVE" dataDxfId="170">
      <calculatedColumnFormula>COUNTIF($K8:$AO8,"*L*")</calculatedColumnFormula>
    </tableColumn>
    <tableColumn id="7" xr3:uid="{1A3593EA-A07A-44D9-9B58-0A2568C8711F}" name="WEEK OFF " dataDxfId="169">
      <calculatedColumnFormula>$J$8</calculatedColumnFormula>
    </tableColumn>
    <tableColumn id="8" xr3:uid="{F23DED1D-E001-4405-9984-C5D6E5A0F8D6}" name="DAYS" dataDxfId="168">
      <calculatedColumnFormula>$K$4</calculatedColumnFormula>
    </tableColumn>
    <tableColumn id="9" xr3:uid="{D1FE0E3C-59DE-4DFC-999E-6DDE341809B4}" name="PAID DAYS" dataDxfId="167">
      <calculatedColumnFormula>(AZ8-AW8)</calculatedColumnFormula>
    </tableColumn>
    <tableColumn id="10" xr3:uid="{7D5E769F-F64A-48D5-A446-89E30A0A0AAA}" name="SALARY" dataDxfId="166"/>
    <tableColumn id="11" xr3:uid="{CA07F06F-0CA9-4E0F-B3FF-19A98477C51F}" name=" DEDUCTION" dataDxfId="165">
      <calculatedColumnFormula>JuneReport[[#This Row],[SALARY]]/JuneReport[[#This Row],[PAID DAYS]]</calculatedColumnFormula>
    </tableColumn>
    <tableColumn id="12" xr3:uid="{B87B3677-E26A-437A-893F-45E8BD399AE4}" name="NET SALARY" dataDxfId="164">
      <calculatedColumnFormula>JuneReport[[#This Row],[SALARY]]-JuneReport[[#This Row],[ DEDUCTION]]</calculatedColumnFormula>
    </tableColumn>
    <tableColumn id="13" xr3:uid="{0D1ECD4B-2172-4D1D-A557-C6BC688A8B9D}" name="SPARKLINE" dataDxfId="16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3F6D5B-8FE3-4898-88AA-39B531FF8FC3}" name="JulyReport" displayName="JulyReport" ref="AR7:BE27" totalsRowShown="0" headerRowDxfId="162" dataDxfId="161" tableBorderDxfId="160">
  <autoFilter ref="AR7:BE27" xr:uid="{1B3F6D5B-8FE3-4898-88AA-39B531FF8FC3}"/>
  <tableColumns count="14">
    <tableColumn id="1" xr3:uid="{BE860AF4-4CED-41CF-82A3-136FD2E38031}" name="SR NO" dataDxfId="159"/>
    <tableColumn id="2" xr3:uid="{CAB509DB-C1DD-4786-A1E2-5180641502E5}" name="EMPL ID" dataDxfId="158"/>
    <tableColumn id="14" xr3:uid="{17F3B608-A871-419E-B883-EB4B38D94F80}" name="MONTH" dataDxfId="157">
      <calculatedColumnFormula>$L$4</calculatedColumnFormula>
    </tableColumn>
    <tableColumn id="3" xr3:uid="{87A612E2-F94E-476C-B9F9-9B3291764D01}" name="EMP NAME" dataDxfId="156"/>
    <tableColumn id="4" xr3:uid="{18D9B5CB-8F0C-4222-82DF-F09E7EAE4978}" name="PRESENT" dataDxfId="155">
      <calculatedColumnFormula>COUNTIF($K8:$AO8,"*P*")</calculatedColumnFormula>
    </tableColumn>
    <tableColumn id="5" xr3:uid="{A155DD1B-D00F-492C-B2DD-AD80D1112279}" name="ABSENT" dataDxfId="154">
      <calculatedColumnFormula>COUNTIF($K8:$AO8,"*A*")</calculatedColumnFormula>
    </tableColumn>
    <tableColumn id="6" xr3:uid="{7A78DB1E-73FD-4DF8-B860-1CC9D32C3E1B}" name="LEAVE" dataDxfId="153">
      <calculatedColumnFormula>COUNTIF($K8:$AO8,"*L*")</calculatedColumnFormula>
    </tableColumn>
    <tableColumn id="7" xr3:uid="{E505E1AD-F8E4-4E7F-8166-54957F80D54C}" name="WEEK OFF " dataDxfId="152">
      <calculatedColumnFormula>$J$8</calculatedColumnFormula>
    </tableColumn>
    <tableColumn id="8" xr3:uid="{1B739CA8-4E5A-4CD3-83E4-594DE7C3672D}" name="DAYS" dataDxfId="151">
      <calculatedColumnFormula>$K$4</calculatedColumnFormula>
    </tableColumn>
    <tableColumn id="9" xr3:uid="{92CC59CF-7589-42C6-87BF-F82461DA46A4}" name="PAID DAYS" dataDxfId="150">
      <calculatedColumnFormula>(AZ8-AW8)</calculatedColumnFormula>
    </tableColumn>
    <tableColumn id="10" xr3:uid="{58995190-8E86-4D81-A36D-FBFFDCCBFDC0}" name="SALARY" dataDxfId="149"/>
    <tableColumn id="11" xr3:uid="{CE81E00B-E2B9-420A-9A7F-2D67809992C4}" name=" DEDUCTION" dataDxfId="148">
      <calculatedColumnFormula>JulyReport[[#This Row],[SALARY]]/JulyReport[[#This Row],[PAID DAYS]]</calculatedColumnFormula>
    </tableColumn>
    <tableColumn id="12" xr3:uid="{C394C598-58DB-402C-8960-491DA97BA6E9}" name="NET SALARY" dataDxfId="147">
      <calculatedColumnFormula>JulyReport[[#This Row],[SALARY]]-JulyReport[[#This Row],[ DEDUCTION]]</calculatedColumnFormula>
    </tableColumn>
    <tableColumn id="13" xr3:uid="{7423C464-58BD-4467-BA3B-0671EE61CB21}" name="SPARKLINE" dataDxfId="14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747ABB-CD2D-4159-8B8A-C27B0A9FF35C}" name="AugustReport" displayName="AugustReport" ref="AR7:BE27" totalsRowShown="0" headerRowDxfId="145" dataDxfId="143" headerRowBorderDxfId="144" tableBorderDxfId="142">
  <autoFilter ref="AR7:BE27" xr:uid="{7E747ABB-CD2D-4159-8B8A-C27B0A9FF35C}"/>
  <tableColumns count="14">
    <tableColumn id="1" xr3:uid="{23F94667-0E8E-4505-9788-7357CC2E3445}" name="SR NO" dataDxfId="141"/>
    <tableColumn id="2" xr3:uid="{AF3F47B7-23F4-4CA0-91A3-8AFEF93BA7BD}" name="EMPL ID" dataDxfId="140"/>
    <tableColumn id="14" xr3:uid="{266447B4-66E2-46AD-A799-02ADF37CC884}" name="MONTH" dataDxfId="139">
      <calculatedColumnFormula>$L$4</calculatedColumnFormula>
    </tableColumn>
    <tableColumn id="3" xr3:uid="{E280330D-787E-4723-BF6E-62FFFDB13EA4}" name="EMP NAME" dataDxfId="138"/>
    <tableColumn id="4" xr3:uid="{0F3BDA88-EF13-4BC9-BA40-2DB4065C11AE}" name="PRESENT" dataDxfId="137">
      <calculatedColumnFormula>COUNTIF($K$8:$AO$8,"*P*")</calculatedColumnFormula>
    </tableColumn>
    <tableColumn id="5" xr3:uid="{A23AB7F7-E92A-4136-ADBB-A7D89844E37F}" name="ABSENT" dataDxfId="136">
      <calculatedColumnFormula>COUNTIF($K$8:$AO$8,"*A*")</calculatedColumnFormula>
    </tableColumn>
    <tableColumn id="6" xr3:uid="{E50B01B2-201B-45F8-83F5-A8E9DE32210F}" name="LEAVE" dataDxfId="135">
      <calculatedColumnFormula>COUNTIF($K$8:$AO$8,"*L*")</calculatedColumnFormula>
    </tableColumn>
    <tableColumn id="7" xr3:uid="{6E802F21-669D-474F-A4A1-713F0E4E6460}" name="WEEK OFF " dataDxfId="134">
      <calculatedColumnFormula>$J$8</calculatedColumnFormula>
    </tableColumn>
    <tableColumn id="8" xr3:uid="{1B681701-6063-41F7-94D6-F21420942BEF}" name="DAYS" dataDxfId="133">
      <calculatedColumnFormula>$K$4</calculatedColumnFormula>
    </tableColumn>
    <tableColumn id="9" xr3:uid="{79022422-AEBD-4438-B634-3289CA0D07BA}" name="PAID DAYS" dataDxfId="132">
      <calculatedColumnFormula>(AZ8-AW8)</calculatedColumnFormula>
    </tableColumn>
    <tableColumn id="10" xr3:uid="{A649F9B3-9C3D-4897-8676-31FE035B5BEA}" name="SALARY" dataDxfId="131"/>
    <tableColumn id="11" xr3:uid="{F407B777-3674-4490-90F8-D96AF07D6E95}" name=" DEDUCTION" dataDxfId="130">
      <calculatedColumnFormula>AugustReport[[#This Row],[SALARY]]/AugustReport[[#This Row],[PAID DAYS]]</calculatedColumnFormula>
    </tableColumn>
    <tableColumn id="12" xr3:uid="{3C8D840A-1E6F-40EA-95CD-A7DCDC6BE9F6}" name="NET SALARY" dataDxfId="129">
      <calculatedColumnFormula>AugustReport[[#This Row],[SALARY]]-AugustReport[[#This Row],[ DEDUCTION]]</calculatedColumnFormula>
    </tableColumn>
    <tableColumn id="13" xr3:uid="{BD6C5848-E304-425B-9C6F-060D5056BC74}" name="SPARKLINE" dataDxfId="1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9C3FD31-3804-4731-A7F2-AFE457D4FC9C}" name="SeptemberReport" displayName="SeptemberReport" ref="AR7:BE27" totalsRowShown="0" headerRowDxfId="127" dataDxfId="126" tableBorderDxfId="125">
  <autoFilter ref="AR7:BE27" xr:uid="{89C3FD31-3804-4731-A7F2-AFE457D4FC9C}"/>
  <tableColumns count="14">
    <tableColumn id="1" xr3:uid="{77D43FC0-3130-444A-A4C6-32E1204E2A49}" name="SR NO" dataDxfId="124"/>
    <tableColumn id="2" xr3:uid="{D899B1C5-3D5D-43B2-B5B5-A76ADFACC139}" name="EMPL ID" dataDxfId="123"/>
    <tableColumn id="14" xr3:uid="{B9AED993-EA24-407E-9DEF-036EE6199651}" name="MONTH" dataDxfId="122">
      <calculatedColumnFormula>$L$4</calculatedColumnFormula>
    </tableColumn>
    <tableColumn id="3" xr3:uid="{D088817B-4C29-4BF0-B10A-41830A7AB834}" name="EMP NAME" dataDxfId="121"/>
    <tableColumn id="4" xr3:uid="{5AF7E417-10A4-4C19-8729-A541B4230C25}" name="PRESENT" dataDxfId="120">
      <calculatedColumnFormula>COUNTIF($K8:$AO8,"*P*")</calculatedColumnFormula>
    </tableColumn>
    <tableColumn id="5" xr3:uid="{18662A0D-5241-4EF3-B4E0-7E60509C3B3C}" name="ABSENT" dataDxfId="119">
      <calculatedColumnFormula>COUNTIF($K8:$AO8,"*A*")</calculatedColumnFormula>
    </tableColumn>
    <tableColumn id="6" xr3:uid="{9992FA2E-7A93-4D59-B20E-CB525C62921C}" name="LEAVE" dataDxfId="118">
      <calculatedColumnFormula>COUNTIF($K8:$AO8,"*L*")</calculatedColumnFormula>
    </tableColumn>
    <tableColumn id="7" xr3:uid="{D6938EFA-5676-4DBC-B0E9-F5A5A7A9FBF8}" name="WEEK OFF " dataDxfId="117">
      <calculatedColumnFormula>$J$8</calculatedColumnFormula>
    </tableColumn>
    <tableColumn id="8" xr3:uid="{E46BF551-C291-448A-BCDE-D544B35DB503}" name="DAYS" dataDxfId="116">
      <calculatedColumnFormula>$K$4</calculatedColumnFormula>
    </tableColumn>
    <tableColumn id="9" xr3:uid="{576F496E-02E5-44A4-80A1-ACC11473DCD7}" name="PAID DAYS" dataDxfId="115">
      <calculatedColumnFormula>(AZ8-AW8)</calculatedColumnFormula>
    </tableColumn>
    <tableColumn id="10" xr3:uid="{F69E4EEE-6C9C-40E6-9F29-44217F803803}" name="SALARY" dataDxfId="114"/>
    <tableColumn id="11" xr3:uid="{3561CFBC-3803-4AC0-ACB4-439CB3734B30}" name=" DEDUCTION" dataDxfId="113">
      <calculatedColumnFormula>SeptemberReport[[#This Row],[SALARY]]/SeptemberReport[[#This Row],[PAID DAYS]]</calculatedColumnFormula>
    </tableColumn>
    <tableColumn id="12" xr3:uid="{A658A3DA-DF22-4D4E-B893-541D1FCDB459}" name="NET SALARY" dataDxfId="112">
      <calculatedColumnFormula>SeptemberReport[[#This Row],[SALARY]]-SeptemberReport[[#This Row],[ DEDUCTION]]</calculatedColumnFormula>
    </tableColumn>
    <tableColumn id="13" xr3:uid="{56311EFC-2879-4900-82C2-069A97F44D4A}" name="SPARKLINE" dataDxfId="1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0DCB32-5582-4452-BCBF-5F7A36F7EBA0}" name="OctReport" displayName="OctReport" ref="AR7:BE27" totalsRowShown="0" headerRowDxfId="110" dataDxfId="109" tableBorderDxfId="108">
  <autoFilter ref="AR7:BE27" xr:uid="{3C0DCB32-5582-4452-BCBF-5F7A36F7EBA0}"/>
  <tableColumns count="14">
    <tableColumn id="1" xr3:uid="{9057799A-0E29-4FB2-A3CE-3988B4271AFD}" name="SR NO" dataDxfId="107"/>
    <tableColumn id="2" xr3:uid="{6C0B9928-8A51-4C7D-9224-1DAE1E7C3835}" name="EMPL ID" dataDxfId="106"/>
    <tableColumn id="14" xr3:uid="{1F62CBAF-CEA7-4F2E-8532-A533A198AE6B}" name="MONTH" dataDxfId="105">
      <calculatedColumnFormula>$L$4</calculatedColumnFormula>
    </tableColumn>
    <tableColumn id="3" xr3:uid="{114A8A13-3C85-43AD-A2DA-AF9016BBB366}" name="EMP NAME" dataDxfId="104"/>
    <tableColumn id="4" xr3:uid="{7249E419-1A88-4C62-B00D-447D36D8526F}" name="PRESENT" dataDxfId="103">
      <calculatedColumnFormula>COUNTIF($K8:$AO8,"*P*")</calculatedColumnFormula>
    </tableColumn>
    <tableColumn id="5" xr3:uid="{760CB49F-19A3-40C9-960C-598D4F95B88F}" name="ABSENT" dataDxfId="102">
      <calculatedColumnFormula>COUNTIF($K8:$AO8,"*A*")</calculatedColumnFormula>
    </tableColumn>
    <tableColumn id="6" xr3:uid="{CC208AA7-2AA4-4B8F-AB56-8D62B726FC91}" name="LEAVE" dataDxfId="101">
      <calculatedColumnFormula>COUNTIF($K8:$AO8,"*L*")</calculatedColumnFormula>
    </tableColumn>
    <tableColumn id="7" xr3:uid="{BAB6E28C-701A-4C16-A5D8-4165885E0AC5}" name="WEEK OFF " dataDxfId="100">
      <calculatedColumnFormula>$J$8</calculatedColumnFormula>
    </tableColumn>
    <tableColumn id="8" xr3:uid="{7E3CDFC3-C6AF-44AB-9D6A-C3D34508C891}" name="DAYS" dataDxfId="99">
      <calculatedColumnFormula>$K$4</calculatedColumnFormula>
    </tableColumn>
    <tableColumn id="9" xr3:uid="{15D6B29D-46C7-4213-95AE-FCC7997F3BC7}" name="PAID DAYS" dataDxfId="98">
      <calculatedColumnFormula>(AZ8-AW8)</calculatedColumnFormula>
    </tableColumn>
    <tableColumn id="10" xr3:uid="{8C3DB4D4-3C49-4999-B658-AD898634BDBA}" name="SALARY" dataDxfId="97"/>
    <tableColumn id="11" xr3:uid="{A850CC89-2788-402D-8107-9B0EC70AB686}" name=" DEDUCTION" dataDxfId="96">
      <calculatedColumnFormula>OctReport[[#This Row],[SALARY]]/OctReport[[#This Row],[PAID DAYS]]</calculatedColumnFormula>
    </tableColumn>
    <tableColumn id="12" xr3:uid="{7933A14C-3ECF-4073-9CEF-708284AB5BF9}" name="NET SALARY" dataDxfId="95">
      <calculatedColumnFormula>OctReport[[#This Row],[SALARY]]-OctReport[[#This Row],[ DEDUCTION]]</calculatedColumnFormula>
    </tableColumn>
    <tableColumn id="13" xr3:uid="{09342CEE-D07A-4494-9C29-63F9C2BDD869}" name="SPARKLINE" dataDxfId="9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E5D9F16-6B7C-4771-8817-31DF207E79C7}" name="NovReport" displayName="NovReport" ref="AR7:BE27" totalsRowShown="0" headerRowDxfId="93" dataDxfId="92" tableBorderDxfId="91">
  <autoFilter ref="AR7:BE27" xr:uid="{6E5D9F16-6B7C-4771-8817-31DF207E79C7}"/>
  <tableColumns count="14">
    <tableColumn id="1" xr3:uid="{B1067FC4-33E8-45C1-854D-EF38FB98129A}" name="SR NO" dataDxfId="90"/>
    <tableColumn id="2" xr3:uid="{1824CA0B-5A7F-437C-AE59-856CD15F2CB8}" name="EMPL ID" dataDxfId="89"/>
    <tableColumn id="14" xr3:uid="{38A05A8E-FCE5-4EBF-AB22-F0B7A8F1FA3C}" name="MONTH" dataDxfId="88">
      <calculatedColumnFormula>$L$4</calculatedColumnFormula>
    </tableColumn>
    <tableColumn id="3" xr3:uid="{FCE262C3-6B62-4581-9E76-797601D5E3A5}" name="EMP NAME" dataDxfId="87"/>
    <tableColumn id="4" xr3:uid="{7B1C71E4-EB63-4C47-9346-AC7D21B26DD5}" name="PRESENT" dataDxfId="86">
      <calculatedColumnFormula>COUNTIF($K8:$AO8,"*P*")</calculatedColumnFormula>
    </tableColumn>
    <tableColumn id="5" xr3:uid="{8870620A-0E68-4801-93CB-F36DC8F0BCC9}" name="ABSENT" dataDxfId="85">
      <calculatedColumnFormula>COUNTIF($K8:$AO8,"*A*")</calculatedColumnFormula>
    </tableColumn>
    <tableColumn id="6" xr3:uid="{9C58F8EF-7D02-45A3-8C06-96BAAE183321}" name="LEAVE" dataDxfId="84">
      <calculatedColumnFormula>COUNTIF($K8:$AO8,"*L*")</calculatedColumnFormula>
    </tableColumn>
    <tableColumn id="7" xr3:uid="{CDAA45B8-37CE-4A3C-9655-9924FFA51136}" name="WEEK OFF " dataDxfId="83">
      <calculatedColumnFormula>$J$8</calculatedColumnFormula>
    </tableColumn>
    <tableColumn id="8" xr3:uid="{B67B3B1D-F849-4501-A9E6-1000B2DCC34E}" name="DAYS" dataDxfId="82">
      <calculatedColumnFormula>$K$4</calculatedColumnFormula>
    </tableColumn>
    <tableColumn id="9" xr3:uid="{7C6C9BA9-842A-4359-874F-06974F14BE7D}" name="PAID DAYS" dataDxfId="81">
      <calculatedColumnFormula>(AZ8-AW8)</calculatedColumnFormula>
    </tableColumn>
    <tableColumn id="10" xr3:uid="{C31D8F6A-E1C8-49AF-A63A-AF98EB92B7EE}" name="SALARY" dataDxfId="80"/>
    <tableColumn id="11" xr3:uid="{39D77EDC-D12F-43F0-A0F3-9B99198ADF4D}" name=" DEDUCTION" dataDxfId="79">
      <calculatedColumnFormula>NovReport[[#This Row],[SALARY]]/NovReport[[#This Row],[PAID DAYS]]</calculatedColumnFormula>
    </tableColumn>
    <tableColumn id="12" xr3:uid="{506EC66A-03B7-4BE9-9E16-4AA548DABC2D}" name="NET SALARY" dataDxfId="78">
      <calculatedColumnFormula>NovReport[[#This Row],[SALARY]]-NovReport[[#This Row],[ DEDUCTION]]</calculatedColumnFormula>
    </tableColumn>
    <tableColumn id="13" xr3:uid="{666ABC5C-26A3-45A0-9C12-D1E001C685B6}" name="SPARKLINE" dataDxfId="7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FB8F20E-D394-41EA-AF35-37887516B7CE}" name="DecReport" displayName="DecReport" ref="AR7:BE27" totalsRowShown="0" headerRowDxfId="76" dataDxfId="75" tableBorderDxfId="74">
  <autoFilter ref="AR7:BE27" xr:uid="{FFB8F20E-D394-41EA-AF35-37887516B7CE}"/>
  <tableColumns count="14">
    <tableColumn id="1" xr3:uid="{9494E577-5480-4832-B706-0FD4B2C8A3C7}" name="SR NO" dataDxfId="73"/>
    <tableColumn id="2" xr3:uid="{60758139-788C-49AB-897A-3A88269E810C}" name="EMPL ID" dataDxfId="72"/>
    <tableColumn id="14" xr3:uid="{017F0F32-0B1A-495B-B519-748258171DC2}" name="MONTH" dataDxfId="71">
      <calculatedColumnFormula>$L$4</calculatedColumnFormula>
    </tableColumn>
    <tableColumn id="3" xr3:uid="{36092941-14BC-49B8-AE61-10FB6B1F2760}" name="EMP NAME" dataDxfId="70"/>
    <tableColumn id="4" xr3:uid="{09DC15F6-E356-446B-A97D-7BF72CD3DEAB}" name="PRESENT" dataDxfId="69">
      <calculatedColumnFormula>COUNTIF($K8:$AO8,"*P*")</calculatedColumnFormula>
    </tableColumn>
    <tableColumn id="5" xr3:uid="{9B59D25F-6CEB-44A6-AC0B-DAD7B0508ABF}" name="ABSENT" dataDxfId="68">
      <calculatedColumnFormula>COUNTIF($K8:$AO8,"*A*")</calculatedColumnFormula>
    </tableColumn>
    <tableColumn id="6" xr3:uid="{6F3FEBD2-5AA7-47D7-B5A0-42F01C49423C}" name="LEAVE" dataDxfId="67">
      <calculatedColumnFormula>COUNTIF($K8:$AO8,"*L*")</calculatedColumnFormula>
    </tableColumn>
    <tableColumn id="7" xr3:uid="{4C3FF394-692A-4858-B26E-0741B6B67E3F}" name="WEEK OFF " dataDxfId="66">
      <calculatedColumnFormula>$J$8</calculatedColumnFormula>
    </tableColumn>
    <tableColumn id="8" xr3:uid="{84E48488-6CEF-4601-8EB7-37C38E8FDECB}" name="DAYS" dataDxfId="65">
      <calculatedColumnFormula>$K$4</calculatedColumnFormula>
    </tableColumn>
    <tableColumn id="9" xr3:uid="{4A46305C-0AC5-409B-BE0F-134B0273E58C}" name="PAID DAYS" dataDxfId="64">
      <calculatedColumnFormula>(AZ8-AW8)</calculatedColumnFormula>
    </tableColumn>
    <tableColumn id="10" xr3:uid="{89FFFE51-9EA0-4790-9FC1-0F7B4624C63C}" name="SALARY" dataDxfId="63"/>
    <tableColumn id="11" xr3:uid="{E4B54FE2-0233-4405-B4BF-3F13F0107B6B}" name=" DEDUCTION" dataDxfId="62">
      <calculatedColumnFormula>DecReport[[#This Row],[SALARY]]/DecReport[[#This Row],[PAID DAYS]]</calculatedColumnFormula>
    </tableColumn>
    <tableColumn id="12" xr3:uid="{752767E4-6F3A-4B7B-A335-EE4ED24E7449}" name="NET SALARY" dataDxfId="61">
      <calculatedColumnFormula>DecReport[[#This Row],[SALARY]]-DecReport[[#This Row],[ DEDUCTION]]</calculatedColumnFormula>
    </tableColumn>
    <tableColumn id="13" xr3:uid="{502D0C35-71FE-40DF-826D-56642CF3FE77}" name="SPARKLINE" dataDxfId="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55960D-36FD-4087-AF93-5BA8140C0B66}">
  <we:reference id="wa200002736" version="1.0.0.0" store="en-US" storeType="OMEX"/>
  <we:alternateReferences>
    <we:reference id="WA200002736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50B1-DFFE-4F9B-BC5C-F5C4BF4D736E}">
  <dimension ref="A1:BN65"/>
  <sheetViews>
    <sheetView tabSelected="1" zoomScale="50" zoomScaleNormal="50" workbookViewId="0">
      <selection sqref="A1:XFD1048576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48" width="26" style="3" customWidth="1"/>
    <col min="49" max="50" width="15.140625" style="3" customWidth="1"/>
    <col min="51" max="51" width="16" style="3" customWidth="1"/>
    <col min="52" max="53" width="16.85546875" style="3" customWidth="1"/>
    <col min="54" max="54" width="24.85546875" style="3" customWidth="1"/>
    <col min="55" max="55" width="18.28515625" style="3" customWidth="1"/>
    <col min="56" max="56" width="21.140625" style="3" customWidth="1"/>
    <col min="57" max="57" width="23.42578125" style="2" customWidth="1"/>
    <col min="58" max="16384" width="9.140625" style="2"/>
  </cols>
  <sheetData>
    <row r="1" spans="4:66" ht="30" customHeight="1">
      <c r="AP1" s="69"/>
      <c r="AQ1" s="70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  <c r="BF1" s="73"/>
      <c r="BG1" s="73"/>
      <c r="BH1" s="74"/>
      <c r="BI1" s="4"/>
      <c r="BJ1" s="4"/>
      <c r="BK1" s="4"/>
      <c r="BL1" s="4"/>
      <c r="BM1" s="4"/>
      <c r="BN1" s="4"/>
    </row>
    <row r="2" spans="4:66" ht="30" customHeight="1" thickBot="1">
      <c r="AP2" s="75"/>
      <c r="AQ2" s="13"/>
      <c r="BF2" s="14"/>
      <c r="BG2" s="14"/>
      <c r="BH2" s="76"/>
      <c r="BI2" s="4"/>
      <c r="BJ2" s="4"/>
      <c r="BK2" s="4"/>
      <c r="BL2" s="4"/>
      <c r="BM2" s="4"/>
      <c r="BN2" s="4"/>
    </row>
    <row r="3" spans="4:66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75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14"/>
      <c r="BH3" s="76"/>
      <c r="BI3" s="4"/>
      <c r="BJ3" s="4"/>
      <c r="BK3" s="4"/>
      <c r="BL3" s="4"/>
      <c r="BM3" s="4"/>
      <c r="BN3" s="4"/>
    </row>
    <row r="4" spans="4:66" ht="30" customHeight="1">
      <c r="D4" s="55"/>
      <c r="E4" s="56"/>
      <c r="F4" s="56"/>
      <c r="G4" s="57" t="s">
        <v>24</v>
      </c>
      <c r="H4" s="58"/>
      <c r="I4" s="59">
        <v>45689</v>
      </c>
      <c r="J4" s="60"/>
      <c r="K4" s="57">
        <f>(DATEDIF(I4,O4,"D"))+1</f>
        <v>28</v>
      </c>
      <c r="L4" s="50" t="str">
        <f>TEXT(I4,"MMMM")</f>
        <v>February</v>
      </c>
      <c r="M4" s="57" t="s">
        <v>28</v>
      </c>
      <c r="N4" s="61"/>
      <c r="O4" s="59">
        <f>EOMONTH(I4,0)</f>
        <v>45716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75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14"/>
      <c r="BH4" s="76"/>
      <c r="BI4" s="4"/>
      <c r="BJ4" s="4"/>
      <c r="BK4" s="4"/>
      <c r="BL4" s="4"/>
      <c r="BM4" s="4"/>
      <c r="BN4" s="4"/>
    </row>
    <row r="5" spans="4:66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75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14"/>
      <c r="BH5" s="76"/>
      <c r="BI5" s="4"/>
      <c r="BJ5" s="4"/>
      <c r="BK5" s="4"/>
      <c r="BL5" s="4"/>
      <c r="BM5" s="4"/>
      <c r="BN5" s="4"/>
    </row>
    <row r="6" spans="4:66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20" t="str">
        <f t="shared" si="0"/>
        <v>Fri</v>
      </c>
      <c r="AP6" s="75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14"/>
      <c r="BH6" s="76"/>
      <c r="BI6" s="4"/>
      <c r="BJ6" s="4"/>
      <c r="BK6" s="4"/>
      <c r="BL6" s="4"/>
      <c r="BM6" s="4"/>
      <c r="BN6" s="4"/>
    </row>
    <row r="7" spans="4:66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ref="M7" si="2">IF(L7&lt;$O$4,L7+1,"")</f>
        <v>45660</v>
      </c>
      <c r="N7" s="64">
        <f t="shared" ref="N7" si="3">IF(M7&lt;$O$4,M7+1,"")</f>
        <v>45661</v>
      </c>
      <c r="O7" s="64">
        <f t="shared" ref="O7" si="4">IF(N7&lt;$O$4,N7+1,"")</f>
        <v>45662</v>
      </c>
      <c r="P7" s="64">
        <f t="shared" ref="P7" si="5">IF(O7&lt;$O$4,O7+1,"")</f>
        <v>45663</v>
      </c>
      <c r="Q7" s="64">
        <f t="shared" ref="Q7" si="6">IF(P7&lt;$O$4,P7+1,"")</f>
        <v>45664</v>
      </c>
      <c r="R7" s="64">
        <f t="shared" ref="R7" si="7">IF(Q7&lt;$O$4,Q7+1,"")</f>
        <v>45665</v>
      </c>
      <c r="S7" s="64">
        <f t="shared" ref="S7" si="8">IF(R7&lt;$O$4,R7+1,"")</f>
        <v>45666</v>
      </c>
      <c r="T7" s="64">
        <f t="shared" ref="T7" si="9">IF(S7&lt;$O$4,S7+1,"")</f>
        <v>45667</v>
      </c>
      <c r="U7" s="64">
        <f t="shared" ref="U7" si="10">IF(T7&lt;$O$4,T7+1,"")</f>
        <v>45668</v>
      </c>
      <c r="V7" s="64">
        <f t="shared" ref="V7" si="11">IF(U7&lt;$O$4,U7+1,"")</f>
        <v>45669</v>
      </c>
      <c r="W7" s="64">
        <f t="shared" ref="W7" si="12">IF(V7&lt;$O$4,V7+1,"")</f>
        <v>45670</v>
      </c>
      <c r="X7" s="64">
        <f t="shared" ref="X7" si="13">IF(W7&lt;$O$4,W7+1,"")</f>
        <v>45671</v>
      </c>
      <c r="Y7" s="64">
        <f t="shared" ref="Y7" si="14">IF(X7&lt;$O$4,X7+1,"")</f>
        <v>45672</v>
      </c>
      <c r="Z7" s="64">
        <f t="shared" ref="Z7" si="15">IF(Y7&lt;$O$4,Y7+1,"")</f>
        <v>45673</v>
      </c>
      <c r="AA7" s="64">
        <f t="shared" ref="AA7" si="16">IF(Z7&lt;$O$4,Z7+1,"")</f>
        <v>45674</v>
      </c>
      <c r="AB7" s="64">
        <f t="shared" ref="AB7" si="17">IF(AA7&lt;$O$4,AA7+1,"")</f>
        <v>45675</v>
      </c>
      <c r="AC7" s="64">
        <f t="shared" ref="AC7" si="18">IF(AB7&lt;$O$4,AB7+1,"")</f>
        <v>45676</v>
      </c>
      <c r="AD7" s="64">
        <f t="shared" ref="AD7" si="19">IF(AC7&lt;$O$4,AC7+1,"")</f>
        <v>45677</v>
      </c>
      <c r="AE7" s="64">
        <f t="shared" ref="AE7" si="20">IF(AD7&lt;$O$4,AD7+1,"")</f>
        <v>45678</v>
      </c>
      <c r="AF7" s="64">
        <f t="shared" ref="AF7" si="21">IF(AE7&lt;$O$4,AE7+1,"")</f>
        <v>45679</v>
      </c>
      <c r="AG7" s="64">
        <f t="shared" ref="AG7" si="22">IF(AF7&lt;$O$4,AF7+1,"")</f>
        <v>45680</v>
      </c>
      <c r="AH7" s="64">
        <f t="shared" ref="AH7" si="23">IF(AG7&lt;$O$4,AG7+1,"")</f>
        <v>45681</v>
      </c>
      <c r="AI7" s="64">
        <f t="shared" ref="AI7" si="24">IF(AH7&lt;$O$4,AH7+1,"")</f>
        <v>45682</v>
      </c>
      <c r="AJ7" s="64">
        <f t="shared" ref="AJ7" si="25">IF(AI7&lt;$O$4,AI7+1,"")</f>
        <v>45683</v>
      </c>
      <c r="AK7" s="64">
        <f t="shared" ref="AK7" si="26">IF(AJ7&lt;$O$4,AJ7+1,"")</f>
        <v>45684</v>
      </c>
      <c r="AL7" s="64">
        <f t="shared" ref="AL7" si="27">IF(AK7&lt;$O$4,AK7+1,"")</f>
        <v>45685</v>
      </c>
      <c r="AM7" s="64">
        <f>IF(AL7&lt;$O$4,AL7+1,"")</f>
        <v>45686</v>
      </c>
      <c r="AN7" s="64">
        <f t="shared" ref="AN7" si="28">IF(AM7&lt;$O$4,AM7+1,"")</f>
        <v>45687</v>
      </c>
      <c r="AO7" s="64">
        <f t="shared" ref="AO7" si="29">IF(AN7&lt;$O$4,AN7+1,"")</f>
        <v>45688</v>
      </c>
      <c r="AP7" s="77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8" t="s">
        <v>41</v>
      </c>
      <c r="BE7" s="138" t="s">
        <v>37</v>
      </c>
      <c r="BF7" s="14"/>
      <c r="BG7" s="14"/>
      <c r="BH7" s="76"/>
      <c r="BI7" s="4"/>
      <c r="BJ7" s="4"/>
      <c r="BK7" s="4"/>
      <c r="BL7" s="4"/>
      <c r="BM7" s="4"/>
      <c r="BN7" s="4"/>
    </row>
    <row r="8" spans="4:66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38</v>
      </c>
      <c r="L8" s="51" t="s">
        <v>38</v>
      </c>
      <c r="M8" s="51" t="s">
        <v>38</v>
      </c>
      <c r="N8" s="51" t="s">
        <v>38</v>
      </c>
      <c r="O8" s="51" t="str">
        <f t="shared" ref="O8:AJ16" si="30">IF(O$6="sun","Wo"," ")</f>
        <v>Wo</v>
      </c>
      <c r="P8" s="51" t="s">
        <v>38</v>
      </c>
      <c r="Q8" s="51" t="s">
        <v>38</v>
      </c>
      <c r="R8" s="51" t="s">
        <v>40</v>
      </c>
      <c r="S8" s="51" t="s">
        <v>38</v>
      </c>
      <c r="T8" s="51" t="s">
        <v>38</v>
      </c>
      <c r="U8" s="51" t="s">
        <v>39</v>
      </c>
      <c r="V8" s="51" t="str">
        <f t="shared" si="30"/>
        <v>Wo</v>
      </c>
      <c r="W8" s="51" t="s">
        <v>39</v>
      </c>
      <c r="X8" s="51" t="s">
        <v>38</v>
      </c>
      <c r="Y8" s="51" t="s">
        <v>38</v>
      </c>
      <c r="Z8" s="51" t="s">
        <v>40</v>
      </c>
      <c r="AA8" s="51" t="s">
        <v>38</v>
      </c>
      <c r="AB8" s="51" t="s">
        <v>38</v>
      </c>
      <c r="AC8" s="51" t="str">
        <f t="shared" si="30"/>
        <v>Wo</v>
      </c>
      <c r="AD8" s="65" t="s">
        <v>38</v>
      </c>
      <c r="AE8" s="65" t="s">
        <v>38</v>
      </c>
      <c r="AF8" s="65" t="s">
        <v>40</v>
      </c>
      <c r="AG8" s="65" t="s">
        <v>38</v>
      </c>
      <c r="AH8" s="65" t="s">
        <v>39</v>
      </c>
      <c r="AI8" s="65" t="s">
        <v>38</v>
      </c>
      <c r="AJ8" s="65" t="str">
        <f t="shared" si="30"/>
        <v>Wo</v>
      </c>
      <c r="AK8" s="65" t="s">
        <v>38</v>
      </c>
      <c r="AL8" s="65" t="s">
        <v>38</v>
      </c>
      <c r="AM8" s="65" t="s">
        <v>38</v>
      </c>
      <c r="AN8" s="65" t="s">
        <v>40</v>
      </c>
      <c r="AO8" s="16" t="s">
        <v>38</v>
      </c>
      <c r="AP8" s="77"/>
      <c r="AQ8" s="13"/>
      <c r="AR8" s="135">
        <v>1</v>
      </c>
      <c r="AS8" s="106">
        <v>1001</v>
      </c>
      <c r="AT8" s="106" t="str">
        <f t="shared" ref="AT8:AT27" si="31">$L$4</f>
        <v>February</v>
      </c>
      <c r="AU8" s="106" t="s">
        <v>1</v>
      </c>
      <c r="AV8" s="109">
        <f t="shared" ref="AV8:AV27" si="32">COUNTIF($K8:$AO8,"*P*")</f>
        <v>20</v>
      </c>
      <c r="AW8" s="109">
        <f>COUNTIF($K8:$AO8,"A")</f>
        <v>3</v>
      </c>
      <c r="AX8" s="109">
        <f>COUNTIF($K8:$AO8,"L")</f>
        <v>4</v>
      </c>
      <c r="AY8" s="109">
        <f>$J$8</f>
        <v>4</v>
      </c>
      <c r="AZ8" s="112">
        <f>$K$4</f>
        <v>28</v>
      </c>
      <c r="BA8" s="112">
        <f>(AZ8-AW8)</f>
        <v>25</v>
      </c>
      <c r="BB8" s="115">
        <v>15000</v>
      </c>
      <c r="BC8" s="118">
        <f>JanReport[[#This Row],[SALARY]]/JanReport[[#This Row],[DAYS]]</f>
        <v>535.71428571428567</v>
      </c>
      <c r="BD8" s="118">
        <f>JanReport[[#This Row],[SALARY]]-JanReport[[#This Row],[ DEDUCTION]]</f>
        <v>14464.285714285714</v>
      </c>
      <c r="BE8" s="136"/>
      <c r="BF8" s="14"/>
      <c r="BG8" s="14"/>
      <c r="BH8" s="76"/>
      <c r="BI8" s="4"/>
      <c r="BJ8" s="4"/>
      <c r="BK8" s="4"/>
      <c r="BL8" s="4"/>
      <c r="BM8" s="4"/>
      <c r="BN8" s="4"/>
    </row>
    <row r="9" spans="4:66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33">COUNTIF($K$6:$AO$6,"sun")</f>
        <v>4</v>
      </c>
      <c r="K9" s="51" t="s">
        <v>39</v>
      </c>
      <c r="L9" s="51" t="s">
        <v>38</v>
      </c>
      <c r="M9" s="51" t="s">
        <v>38</v>
      </c>
      <c r="N9" s="51" t="s">
        <v>38</v>
      </c>
      <c r="O9" s="51" t="str">
        <f t="shared" si="30"/>
        <v>Wo</v>
      </c>
      <c r="P9" s="51" t="s">
        <v>38</v>
      </c>
      <c r="Q9" s="51" t="s">
        <v>38</v>
      </c>
      <c r="R9" s="51" t="s">
        <v>40</v>
      </c>
      <c r="S9" s="51" t="s">
        <v>38</v>
      </c>
      <c r="T9" s="51" t="s">
        <v>38</v>
      </c>
      <c r="U9" s="51" t="s">
        <v>38</v>
      </c>
      <c r="V9" s="51" t="str">
        <f t="shared" si="30"/>
        <v>Wo</v>
      </c>
      <c r="W9" s="51" t="s">
        <v>38</v>
      </c>
      <c r="X9" s="146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51" t="str">
        <f t="shared" si="30"/>
        <v>Wo</v>
      </c>
      <c r="AD9" s="65" t="s">
        <v>38</v>
      </c>
      <c r="AE9" s="65" t="s">
        <v>38</v>
      </c>
      <c r="AF9" s="65" t="s">
        <v>40</v>
      </c>
      <c r="AG9" s="65" t="s">
        <v>38</v>
      </c>
      <c r="AH9" s="65" t="s">
        <v>38</v>
      </c>
      <c r="AI9" s="65" t="s">
        <v>38</v>
      </c>
      <c r="AJ9" s="65" t="str">
        <f t="shared" si="30"/>
        <v>Wo</v>
      </c>
      <c r="AK9" s="65" t="s">
        <v>38</v>
      </c>
      <c r="AL9" s="65" t="s">
        <v>38</v>
      </c>
      <c r="AM9" s="65" t="s">
        <v>38</v>
      </c>
      <c r="AN9" s="65" t="s">
        <v>40</v>
      </c>
      <c r="AO9" s="16" t="s">
        <v>38</v>
      </c>
      <c r="AP9" s="77"/>
      <c r="AQ9" s="13"/>
      <c r="AR9" s="7">
        <v>2</v>
      </c>
      <c r="AS9" s="107">
        <v>1002</v>
      </c>
      <c r="AT9" s="107" t="str">
        <f t="shared" si="31"/>
        <v>February</v>
      </c>
      <c r="AU9" s="107" t="s">
        <v>2</v>
      </c>
      <c r="AV9" s="110">
        <f t="shared" si="32"/>
        <v>22</v>
      </c>
      <c r="AW9" s="110">
        <f t="shared" ref="AW9:AW27" si="34">COUNTIF($K9:$AO9,"A")</f>
        <v>1</v>
      </c>
      <c r="AX9" s="110">
        <f t="shared" ref="AX9:AX27" si="35">COUNTIF($K9:$AO9,"L")</f>
        <v>4</v>
      </c>
      <c r="AY9" s="110">
        <f t="shared" ref="AY9:AY27" si="36">$J$8</f>
        <v>4</v>
      </c>
      <c r="AZ9" s="113">
        <f t="shared" ref="AZ9:AZ27" si="37">$K$4</f>
        <v>28</v>
      </c>
      <c r="BA9" s="113">
        <f t="shared" ref="BA9:BA27" si="38">(AZ9-AW9)</f>
        <v>27</v>
      </c>
      <c r="BB9" s="116">
        <v>16000</v>
      </c>
      <c r="BC9" s="119">
        <f>JanReport[[#This Row],[SALARY]]/JanReport[[#This Row],[DAYS]]</f>
        <v>571.42857142857144</v>
      </c>
      <c r="BD9" s="119">
        <f>JanReport[[#This Row],[SALARY]]-JanReport[[#This Row],[ DEDUCTION]]</f>
        <v>15428.571428571429</v>
      </c>
      <c r="BE9" s="136"/>
      <c r="BF9" s="14"/>
      <c r="BG9" s="14"/>
      <c r="BH9" s="76"/>
      <c r="BI9" s="4"/>
      <c r="BJ9" s="4"/>
      <c r="BK9" s="4"/>
      <c r="BL9" s="4"/>
      <c r="BM9" s="4"/>
      <c r="BN9" s="4"/>
    </row>
    <row r="10" spans="4:66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33"/>
        <v>4</v>
      </c>
      <c r="K10" s="51" t="s">
        <v>38</v>
      </c>
      <c r="L10" s="51" t="s">
        <v>38</v>
      </c>
      <c r="M10" s="51" t="s">
        <v>38</v>
      </c>
      <c r="N10" s="51" t="s">
        <v>38</v>
      </c>
      <c r="O10" s="51" t="str">
        <f t="shared" si="30"/>
        <v>Wo</v>
      </c>
      <c r="P10" s="51" t="s">
        <v>38</v>
      </c>
      <c r="Q10" s="51" t="s">
        <v>38</v>
      </c>
      <c r="R10" s="51" t="s">
        <v>40</v>
      </c>
      <c r="S10" s="51" t="s">
        <v>38</v>
      </c>
      <c r="T10" s="51" t="s">
        <v>38</v>
      </c>
      <c r="U10" s="51" t="s">
        <v>38</v>
      </c>
      <c r="V10" s="51" t="str">
        <f t="shared" si="30"/>
        <v>Wo</v>
      </c>
      <c r="W10" s="51" t="s">
        <v>38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51" t="str">
        <f t="shared" si="30"/>
        <v>Wo</v>
      </c>
      <c r="AD10" s="65" t="s">
        <v>38</v>
      </c>
      <c r="AE10" s="65" t="s">
        <v>38</v>
      </c>
      <c r="AF10" s="65" t="s">
        <v>40</v>
      </c>
      <c r="AG10" s="65" t="s">
        <v>38</v>
      </c>
      <c r="AH10" s="65" t="s">
        <v>38</v>
      </c>
      <c r="AI10" s="65" t="s">
        <v>38</v>
      </c>
      <c r="AJ10" s="65" t="str">
        <f t="shared" si="30"/>
        <v>Wo</v>
      </c>
      <c r="AK10" s="65" t="s">
        <v>38</v>
      </c>
      <c r="AL10" s="65" t="s">
        <v>38</v>
      </c>
      <c r="AM10" s="65" t="s">
        <v>39</v>
      </c>
      <c r="AN10" s="65" t="s">
        <v>40</v>
      </c>
      <c r="AO10" s="16" t="s">
        <v>38</v>
      </c>
      <c r="AP10" s="77"/>
      <c r="AQ10" s="13"/>
      <c r="AR10" s="7">
        <v>3</v>
      </c>
      <c r="AS10" s="107">
        <v>1003</v>
      </c>
      <c r="AT10" s="107" t="str">
        <f t="shared" si="31"/>
        <v>February</v>
      </c>
      <c r="AU10" s="107" t="s">
        <v>3</v>
      </c>
      <c r="AV10" s="110">
        <f t="shared" si="32"/>
        <v>22</v>
      </c>
      <c r="AW10" s="110">
        <f t="shared" si="34"/>
        <v>1</v>
      </c>
      <c r="AX10" s="110">
        <f t="shared" si="35"/>
        <v>4</v>
      </c>
      <c r="AY10" s="110">
        <f t="shared" si="36"/>
        <v>4</v>
      </c>
      <c r="AZ10" s="113">
        <f t="shared" si="37"/>
        <v>28</v>
      </c>
      <c r="BA10" s="113">
        <f t="shared" si="38"/>
        <v>27</v>
      </c>
      <c r="BB10" s="116">
        <v>18000</v>
      </c>
      <c r="BC10" s="119">
        <f>JanReport[[#This Row],[SALARY]]/JanReport[[#This Row],[DAYS]]</f>
        <v>642.85714285714289</v>
      </c>
      <c r="BD10" s="119">
        <f>JanReport[[#This Row],[SALARY]]-JanReport[[#This Row],[ DEDUCTION]]</f>
        <v>17357.142857142859</v>
      </c>
      <c r="BE10" s="136"/>
      <c r="BF10" s="14"/>
      <c r="BG10" s="14"/>
      <c r="BH10" s="76"/>
      <c r="BI10" s="4"/>
      <c r="BJ10" s="4"/>
      <c r="BK10" s="4"/>
      <c r="BL10" s="4"/>
      <c r="BM10" s="4"/>
      <c r="BN10" s="4"/>
    </row>
    <row r="11" spans="4:66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33"/>
        <v>4</v>
      </c>
      <c r="K11" s="51" t="s">
        <v>38</v>
      </c>
      <c r="L11" s="51" t="s">
        <v>38</v>
      </c>
      <c r="M11" s="51" t="s">
        <v>39</v>
      </c>
      <c r="N11" s="51" t="s">
        <v>38</v>
      </c>
      <c r="O11" s="51" t="str">
        <f t="shared" si="30"/>
        <v>Wo</v>
      </c>
      <c r="P11" s="51" t="s">
        <v>38</v>
      </c>
      <c r="Q11" s="51" t="s">
        <v>38</v>
      </c>
      <c r="R11" s="51" t="s">
        <v>40</v>
      </c>
      <c r="S11" s="51" t="s">
        <v>39</v>
      </c>
      <c r="T11" s="51" t="s">
        <v>38</v>
      </c>
      <c r="U11" s="51" t="s">
        <v>38</v>
      </c>
      <c r="V11" s="51" t="str">
        <f t="shared" si="30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38</v>
      </c>
      <c r="AB11" s="51" t="s">
        <v>38</v>
      </c>
      <c r="AC11" s="51" t="str">
        <f t="shared" si="30"/>
        <v>Wo</v>
      </c>
      <c r="AD11" s="65" t="s">
        <v>38</v>
      </c>
      <c r="AE11" s="65" t="s">
        <v>38</v>
      </c>
      <c r="AF11" s="65" t="s">
        <v>40</v>
      </c>
      <c r="AG11" s="65" t="s">
        <v>38</v>
      </c>
      <c r="AH11" s="65" t="s">
        <v>38</v>
      </c>
      <c r="AI11" s="65" t="s">
        <v>38</v>
      </c>
      <c r="AJ11" s="65" t="str">
        <f t="shared" si="30"/>
        <v>Wo</v>
      </c>
      <c r="AK11" s="65" t="s">
        <v>38</v>
      </c>
      <c r="AL11" s="65" t="s">
        <v>38</v>
      </c>
      <c r="AM11" s="65" t="s">
        <v>38</v>
      </c>
      <c r="AN11" s="65" t="s">
        <v>40</v>
      </c>
      <c r="AO11" s="16" t="s">
        <v>40</v>
      </c>
      <c r="AP11" s="77"/>
      <c r="AQ11" s="13"/>
      <c r="AR11" s="7">
        <v>4</v>
      </c>
      <c r="AS11" s="107">
        <v>1004</v>
      </c>
      <c r="AT11" s="107" t="str">
        <f t="shared" si="31"/>
        <v>February</v>
      </c>
      <c r="AU11" s="107" t="s">
        <v>4</v>
      </c>
      <c r="AV11" s="110">
        <f t="shared" si="32"/>
        <v>20</v>
      </c>
      <c r="AW11" s="110">
        <f t="shared" si="34"/>
        <v>2</v>
      </c>
      <c r="AX11" s="110">
        <f t="shared" si="35"/>
        <v>5</v>
      </c>
      <c r="AY11" s="110">
        <f t="shared" si="36"/>
        <v>4</v>
      </c>
      <c r="AZ11" s="113">
        <f t="shared" si="37"/>
        <v>28</v>
      </c>
      <c r="BA11" s="113">
        <f t="shared" si="38"/>
        <v>26</v>
      </c>
      <c r="BB11" s="116">
        <v>21000</v>
      </c>
      <c r="BC11" s="119">
        <f>JanReport[[#This Row],[SALARY]]/JanReport[[#This Row],[DAYS]]</f>
        <v>750</v>
      </c>
      <c r="BD11" s="119">
        <f>JanReport[[#This Row],[SALARY]]-JanReport[[#This Row],[ DEDUCTION]]</f>
        <v>20250</v>
      </c>
      <c r="BE11" s="136"/>
      <c r="BF11" s="14"/>
      <c r="BG11" s="14"/>
      <c r="BH11" s="76"/>
      <c r="BI11" s="4"/>
      <c r="BJ11" s="4"/>
      <c r="BK11" s="4"/>
      <c r="BL11" s="4"/>
      <c r="BM11" s="4"/>
      <c r="BN11" s="4"/>
    </row>
    <row r="12" spans="4:66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33"/>
        <v>4</v>
      </c>
      <c r="K12" s="51" t="s">
        <v>38</v>
      </c>
      <c r="L12" s="51" t="s">
        <v>38</v>
      </c>
      <c r="M12" s="51" t="s">
        <v>38</v>
      </c>
      <c r="N12" s="51" t="s">
        <v>38</v>
      </c>
      <c r="O12" s="51" t="str">
        <f t="shared" si="30"/>
        <v>Wo</v>
      </c>
      <c r="P12" s="51" t="s">
        <v>38</v>
      </c>
      <c r="Q12" s="51" t="s">
        <v>38</v>
      </c>
      <c r="R12" s="51" t="s">
        <v>40</v>
      </c>
      <c r="S12" s="51" t="s">
        <v>38</v>
      </c>
      <c r="T12" s="51" t="s">
        <v>38</v>
      </c>
      <c r="U12" s="51" t="s">
        <v>38</v>
      </c>
      <c r="V12" s="51" t="str">
        <f t="shared" si="30"/>
        <v>Wo</v>
      </c>
      <c r="W12" s="51" t="s">
        <v>38</v>
      </c>
      <c r="X12" s="51" t="s">
        <v>38</v>
      </c>
      <c r="Y12" s="51" t="s">
        <v>38</v>
      </c>
      <c r="Z12" s="51" t="s">
        <v>40</v>
      </c>
      <c r="AA12" s="51" t="s">
        <v>38</v>
      </c>
      <c r="AB12" s="51" t="s">
        <v>38</v>
      </c>
      <c r="AC12" s="51" t="str">
        <f t="shared" si="30"/>
        <v>Wo</v>
      </c>
      <c r="AD12" s="65" t="s">
        <v>38</v>
      </c>
      <c r="AE12" s="65" t="s">
        <v>38</v>
      </c>
      <c r="AF12" s="65" t="s">
        <v>40</v>
      </c>
      <c r="AG12" s="65" t="s">
        <v>38</v>
      </c>
      <c r="AH12" s="65" t="s">
        <v>38</v>
      </c>
      <c r="AI12" s="65" t="s">
        <v>38</v>
      </c>
      <c r="AJ12" s="65" t="str">
        <f t="shared" si="30"/>
        <v>Wo</v>
      </c>
      <c r="AK12" s="65" t="s">
        <v>38</v>
      </c>
      <c r="AL12" s="65" t="s">
        <v>38</v>
      </c>
      <c r="AM12" s="65" t="s">
        <v>38</v>
      </c>
      <c r="AN12" s="65" t="s">
        <v>40</v>
      </c>
      <c r="AO12" s="16" t="s">
        <v>38</v>
      </c>
      <c r="AP12" s="77"/>
      <c r="AQ12" s="13"/>
      <c r="AR12" s="7">
        <v>5</v>
      </c>
      <c r="AS12" s="107">
        <v>1005</v>
      </c>
      <c r="AT12" s="107" t="str">
        <f t="shared" si="31"/>
        <v>February</v>
      </c>
      <c r="AU12" s="107" t="s">
        <v>5</v>
      </c>
      <c r="AV12" s="110">
        <f t="shared" si="32"/>
        <v>23</v>
      </c>
      <c r="AW12" s="110">
        <f t="shared" si="34"/>
        <v>0</v>
      </c>
      <c r="AX12" s="110">
        <f t="shared" si="35"/>
        <v>4</v>
      </c>
      <c r="AY12" s="110">
        <f t="shared" si="36"/>
        <v>4</v>
      </c>
      <c r="AZ12" s="113">
        <f t="shared" si="37"/>
        <v>28</v>
      </c>
      <c r="BA12" s="113">
        <f t="shared" si="38"/>
        <v>28</v>
      </c>
      <c r="BB12" s="116">
        <v>30000</v>
      </c>
      <c r="BC12" s="119">
        <f>JanReport[[#This Row],[SALARY]]/JanReport[[#This Row],[DAYS]]</f>
        <v>1071.4285714285713</v>
      </c>
      <c r="BD12" s="119">
        <f>JanReport[[#This Row],[SALARY]]-JanReport[[#This Row],[ DEDUCTION]]</f>
        <v>28928.571428571428</v>
      </c>
      <c r="BE12" s="136"/>
      <c r="BF12" s="14"/>
      <c r="BG12" s="14"/>
      <c r="BH12" s="76"/>
      <c r="BI12" s="4"/>
      <c r="BJ12" s="4"/>
      <c r="BK12" s="4"/>
      <c r="BL12" s="4"/>
      <c r="BM12" s="4"/>
      <c r="BN12" s="4"/>
    </row>
    <row r="13" spans="4:66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33"/>
        <v>4</v>
      </c>
      <c r="K13" s="51" t="s">
        <v>38</v>
      </c>
      <c r="L13" s="51" t="s">
        <v>38</v>
      </c>
      <c r="M13" s="51" t="s">
        <v>38</v>
      </c>
      <c r="N13" s="51" t="s">
        <v>38</v>
      </c>
      <c r="O13" s="51" t="str">
        <f t="shared" si="30"/>
        <v>Wo</v>
      </c>
      <c r="P13" s="51" t="s">
        <v>38</v>
      </c>
      <c r="Q13" s="51" t="s">
        <v>38</v>
      </c>
      <c r="R13" s="51" t="s">
        <v>40</v>
      </c>
      <c r="S13" s="51" t="s">
        <v>40</v>
      </c>
      <c r="T13" s="51" t="s">
        <v>38</v>
      </c>
      <c r="U13" s="51" t="s">
        <v>38</v>
      </c>
      <c r="V13" s="51" t="str">
        <f t="shared" si="30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39</v>
      </c>
      <c r="AC13" s="51" t="str">
        <f t="shared" si="30"/>
        <v>Wo</v>
      </c>
      <c r="AD13" s="65" t="s">
        <v>39</v>
      </c>
      <c r="AE13" s="65" t="s">
        <v>38</v>
      </c>
      <c r="AF13" s="65" t="s">
        <v>40</v>
      </c>
      <c r="AG13" s="65" t="s">
        <v>38</v>
      </c>
      <c r="AH13" s="65" t="s">
        <v>38</v>
      </c>
      <c r="AI13" s="65" t="s">
        <v>38</v>
      </c>
      <c r="AJ13" s="65" t="str">
        <f t="shared" si="30"/>
        <v>Wo</v>
      </c>
      <c r="AK13" s="65" t="s">
        <v>39</v>
      </c>
      <c r="AL13" s="65" t="s">
        <v>38</v>
      </c>
      <c r="AM13" s="65" t="s">
        <v>38</v>
      </c>
      <c r="AN13" s="65" t="s">
        <v>40</v>
      </c>
      <c r="AO13" s="16" t="s">
        <v>38</v>
      </c>
      <c r="AP13" s="77"/>
      <c r="AQ13" s="13"/>
      <c r="AR13" s="7">
        <v>6</v>
      </c>
      <c r="AS13" s="107">
        <v>1006</v>
      </c>
      <c r="AT13" s="107" t="str">
        <f t="shared" si="31"/>
        <v>February</v>
      </c>
      <c r="AU13" s="107" t="s">
        <v>6</v>
      </c>
      <c r="AV13" s="110">
        <f t="shared" si="32"/>
        <v>19</v>
      </c>
      <c r="AW13" s="110">
        <f t="shared" si="34"/>
        <v>3</v>
      </c>
      <c r="AX13" s="110">
        <f t="shared" si="35"/>
        <v>5</v>
      </c>
      <c r="AY13" s="110">
        <f t="shared" si="36"/>
        <v>4</v>
      </c>
      <c r="AZ13" s="113">
        <f t="shared" si="37"/>
        <v>28</v>
      </c>
      <c r="BA13" s="113">
        <f t="shared" si="38"/>
        <v>25</v>
      </c>
      <c r="BB13" s="116">
        <v>25000</v>
      </c>
      <c r="BC13" s="119">
        <f>JanReport[[#This Row],[SALARY]]/JanReport[[#This Row],[DAYS]]</f>
        <v>892.85714285714289</v>
      </c>
      <c r="BD13" s="119">
        <f>JanReport[[#This Row],[SALARY]]-JanReport[[#This Row],[ DEDUCTION]]</f>
        <v>24107.142857142859</v>
      </c>
      <c r="BE13" s="136"/>
      <c r="BF13" s="14"/>
      <c r="BG13" s="14"/>
      <c r="BH13" s="76"/>
      <c r="BI13" s="4"/>
      <c r="BJ13" s="4"/>
      <c r="BK13" s="4"/>
      <c r="BL13" s="4"/>
      <c r="BM13" s="4"/>
      <c r="BN13" s="4"/>
    </row>
    <row r="14" spans="4:66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33"/>
        <v>4</v>
      </c>
      <c r="K14" s="51" t="s">
        <v>38</v>
      </c>
      <c r="L14" s="51" t="s">
        <v>39</v>
      </c>
      <c r="M14" s="51" t="s">
        <v>38</v>
      </c>
      <c r="N14" s="51" t="s">
        <v>38</v>
      </c>
      <c r="O14" s="51" t="str">
        <f t="shared" si="30"/>
        <v>Wo</v>
      </c>
      <c r="P14" s="51" t="s">
        <v>38</v>
      </c>
      <c r="Q14" s="51" t="s">
        <v>38</v>
      </c>
      <c r="R14" s="51" t="s">
        <v>40</v>
      </c>
      <c r="S14" s="51" t="s">
        <v>40</v>
      </c>
      <c r="T14" s="51" t="s">
        <v>38</v>
      </c>
      <c r="U14" s="51" t="s">
        <v>38</v>
      </c>
      <c r="V14" s="51" t="str">
        <f t="shared" si="30"/>
        <v>Wo</v>
      </c>
      <c r="W14" s="51" t="s">
        <v>38</v>
      </c>
      <c r="X14" s="51" t="s">
        <v>39</v>
      </c>
      <c r="Y14" s="51" t="s">
        <v>38</v>
      </c>
      <c r="Z14" s="51" t="s">
        <v>40</v>
      </c>
      <c r="AA14" s="51" t="s">
        <v>38</v>
      </c>
      <c r="AB14" s="51" t="s">
        <v>38</v>
      </c>
      <c r="AC14" s="51" t="str">
        <f t="shared" si="30"/>
        <v>Wo</v>
      </c>
      <c r="AD14" s="65" t="s">
        <v>38</v>
      </c>
      <c r="AE14" s="65" t="s">
        <v>38</v>
      </c>
      <c r="AF14" s="65" t="s">
        <v>40</v>
      </c>
      <c r="AG14" s="65" t="s">
        <v>38</v>
      </c>
      <c r="AH14" s="65" t="s">
        <v>38</v>
      </c>
      <c r="AI14" s="65" t="s">
        <v>38</v>
      </c>
      <c r="AJ14" s="65" t="str">
        <f t="shared" si="30"/>
        <v>Wo</v>
      </c>
      <c r="AK14" s="65" t="s">
        <v>38</v>
      </c>
      <c r="AL14" s="65" t="s">
        <v>38</v>
      </c>
      <c r="AM14" s="65" t="s">
        <v>38</v>
      </c>
      <c r="AN14" s="65" t="s">
        <v>40</v>
      </c>
      <c r="AO14" s="16" t="s">
        <v>40</v>
      </c>
      <c r="AP14" s="77"/>
      <c r="AQ14" s="13"/>
      <c r="AR14" s="7">
        <v>7</v>
      </c>
      <c r="AS14" s="107">
        <v>1007</v>
      </c>
      <c r="AT14" s="107" t="str">
        <f t="shared" si="31"/>
        <v>February</v>
      </c>
      <c r="AU14" s="107" t="s">
        <v>7</v>
      </c>
      <c r="AV14" s="110">
        <f t="shared" si="32"/>
        <v>19</v>
      </c>
      <c r="AW14" s="110">
        <f t="shared" si="34"/>
        <v>2</v>
      </c>
      <c r="AX14" s="110">
        <f t="shared" si="35"/>
        <v>6</v>
      </c>
      <c r="AY14" s="110">
        <f t="shared" si="36"/>
        <v>4</v>
      </c>
      <c r="AZ14" s="113">
        <f t="shared" si="37"/>
        <v>28</v>
      </c>
      <c r="BA14" s="113">
        <f t="shared" si="38"/>
        <v>26</v>
      </c>
      <c r="BB14" s="116">
        <v>30000</v>
      </c>
      <c r="BC14" s="119">
        <f>JanReport[[#This Row],[SALARY]]/JanReport[[#This Row],[DAYS]]</f>
        <v>1071.4285714285713</v>
      </c>
      <c r="BD14" s="119">
        <f>JanReport[[#This Row],[SALARY]]-JanReport[[#This Row],[ DEDUCTION]]</f>
        <v>28928.571428571428</v>
      </c>
      <c r="BE14" s="136"/>
      <c r="BF14" s="14"/>
      <c r="BG14" s="14"/>
      <c r="BH14" s="76"/>
      <c r="BI14" s="4"/>
      <c r="BJ14" s="4"/>
      <c r="BK14" s="4"/>
      <c r="BL14" s="4"/>
      <c r="BM14" s="4"/>
      <c r="BN14" s="4"/>
    </row>
    <row r="15" spans="4:66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33"/>
        <v>4</v>
      </c>
      <c r="K15" s="51" t="s">
        <v>38</v>
      </c>
      <c r="L15" s="51" t="s">
        <v>38</v>
      </c>
      <c r="M15" s="51" t="s">
        <v>38</v>
      </c>
      <c r="N15" s="51" t="s">
        <v>38</v>
      </c>
      <c r="O15" s="51" t="str">
        <f t="shared" si="30"/>
        <v>Wo</v>
      </c>
      <c r="P15" s="51" t="s">
        <v>39</v>
      </c>
      <c r="Q15" s="51" t="s">
        <v>38</v>
      </c>
      <c r="R15" s="51" t="s">
        <v>40</v>
      </c>
      <c r="S15" s="51" t="s">
        <v>40</v>
      </c>
      <c r="T15" s="51" t="s">
        <v>38</v>
      </c>
      <c r="U15" s="51" t="s">
        <v>38</v>
      </c>
      <c r="V15" s="51" t="str">
        <f t="shared" si="30"/>
        <v>Wo</v>
      </c>
      <c r="W15" s="51" t="s">
        <v>38</v>
      </c>
      <c r="X15" s="51" t="s">
        <v>38</v>
      </c>
      <c r="Y15" s="51" t="s">
        <v>38</v>
      </c>
      <c r="Z15" s="51" t="s">
        <v>40</v>
      </c>
      <c r="AA15" s="51" t="s">
        <v>38</v>
      </c>
      <c r="AB15" s="51" t="s">
        <v>38</v>
      </c>
      <c r="AC15" s="51" t="str">
        <f t="shared" si="30"/>
        <v>Wo</v>
      </c>
      <c r="AD15" s="65" t="s">
        <v>38</v>
      </c>
      <c r="AE15" s="65" t="s">
        <v>38</v>
      </c>
      <c r="AF15" s="65" t="s">
        <v>40</v>
      </c>
      <c r="AG15" s="65" t="s">
        <v>38</v>
      </c>
      <c r="AH15" s="65" t="s">
        <v>40</v>
      </c>
      <c r="AI15" s="65" t="s">
        <v>38</v>
      </c>
      <c r="AJ15" s="65" t="str">
        <f t="shared" si="30"/>
        <v>Wo</v>
      </c>
      <c r="AK15" s="65" t="s">
        <v>38</v>
      </c>
      <c r="AL15" s="65" t="s">
        <v>38</v>
      </c>
      <c r="AM15" s="65" t="s">
        <v>38</v>
      </c>
      <c r="AN15" s="65" t="s">
        <v>40</v>
      </c>
      <c r="AO15" s="16" t="s">
        <v>38</v>
      </c>
      <c r="AP15" s="77"/>
      <c r="AQ15" s="13"/>
      <c r="AR15" s="7">
        <v>8</v>
      </c>
      <c r="AS15" s="107">
        <v>1008</v>
      </c>
      <c r="AT15" s="107" t="str">
        <f t="shared" si="31"/>
        <v>February</v>
      </c>
      <c r="AU15" s="107" t="s">
        <v>8</v>
      </c>
      <c r="AV15" s="110">
        <f t="shared" si="32"/>
        <v>20</v>
      </c>
      <c r="AW15" s="110">
        <f t="shared" si="34"/>
        <v>1</v>
      </c>
      <c r="AX15" s="110">
        <f t="shared" si="35"/>
        <v>6</v>
      </c>
      <c r="AY15" s="110">
        <f t="shared" si="36"/>
        <v>4</v>
      </c>
      <c r="AZ15" s="113">
        <f t="shared" si="37"/>
        <v>28</v>
      </c>
      <c r="BA15" s="113">
        <f t="shared" si="38"/>
        <v>27</v>
      </c>
      <c r="BB15" s="116">
        <v>35000</v>
      </c>
      <c r="BC15" s="119">
        <f>JanReport[[#This Row],[SALARY]]/JanReport[[#This Row],[DAYS]]</f>
        <v>1250</v>
      </c>
      <c r="BD15" s="119">
        <f>JanReport[[#This Row],[SALARY]]-JanReport[[#This Row],[ DEDUCTION]]</f>
        <v>33750</v>
      </c>
      <c r="BE15" s="136"/>
      <c r="BF15" s="14"/>
      <c r="BG15" s="14"/>
      <c r="BH15" s="76"/>
      <c r="BI15" s="4"/>
      <c r="BJ15" s="4"/>
      <c r="BK15" s="4"/>
      <c r="BL15" s="4"/>
      <c r="BM15" s="4"/>
      <c r="BN15" s="4"/>
    </row>
    <row r="16" spans="4:66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33"/>
        <v>4</v>
      </c>
      <c r="K16" s="51" t="s">
        <v>38</v>
      </c>
      <c r="L16" s="51" t="s">
        <v>38</v>
      </c>
      <c r="M16" s="51" t="s">
        <v>38</v>
      </c>
      <c r="N16" s="51" t="s">
        <v>38</v>
      </c>
      <c r="O16" s="51" t="str">
        <f t="shared" si="30"/>
        <v>Wo</v>
      </c>
      <c r="P16" s="51" t="s">
        <v>38</v>
      </c>
      <c r="Q16" s="51" t="s">
        <v>38</v>
      </c>
      <c r="R16" s="51" t="s">
        <v>40</v>
      </c>
      <c r="S16" s="51" t="s">
        <v>38</v>
      </c>
      <c r="T16" s="51" t="s">
        <v>38</v>
      </c>
      <c r="U16" s="51" t="s">
        <v>38</v>
      </c>
      <c r="V16" s="51" t="str">
        <f t="shared" si="30"/>
        <v>Wo</v>
      </c>
      <c r="W16" s="51" t="s">
        <v>38</v>
      </c>
      <c r="X16" s="51" t="s">
        <v>38</v>
      </c>
      <c r="Y16" s="51" t="s">
        <v>38</v>
      </c>
      <c r="Z16" s="51" t="s">
        <v>40</v>
      </c>
      <c r="AA16" s="51" t="s">
        <v>38</v>
      </c>
      <c r="AB16" s="51" t="s">
        <v>38</v>
      </c>
      <c r="AC16" s="51" t="str">
        <f t="shared" si="30"/>
        <v>Wo</v>
      </c>
      <c r="AD16" s="65" t="s">
        <v>38</v>
      </c>
      <c r="AE16" s="65" t="s">
        <v>38</v>
      </c>
      <c r="AF16" s="65" t="s">
        <v>40</v>
      </c>
      <c r="AG16" s="65" t="s">
        <v>38</v>
      </c>
      <c r="AH16" s="65" t="s">
        <v>38</v>
      </c>
      <c r="AI16" s="65" t="s">
        <v>40</v>
      </c>
      <c r="AJ16" s="65" t="str">
        <f t="shared" ref="AJ16" si="39">IF(AJ$6="sun","Wo"," ")</f>
        <v>Wo</v>
      </c>
      <c r="AK16" s="65" t="s">
        <v>38</v>
      </c>
      <c r="AL16" s="65" t="s">
        <v>38</v>
      </c>
      <c r="AM16" s="65" t="s">
        <v>40</v>
      </c>
      <c r="AN16" s="65" t="s">
        <v>40</v>
      </c>
      <c r="AO16" s="16" t="s">
        <v>39</v>
      </c>
      <c r="AP16" s="77"/>
      <c r="AQ16" s="13"/>
      <c r="AR16" s="7">
        <v>9</v>
      </c>
      <c r="AS16" s="107">
        <v>1009</v>
      </c>
      <c r="AT16" s="107" t="str">
        <f t="shared" si="31"/>
        <v>February</v>
      </c>
      <c r="AU16" s="107" t="s">
        <v>9</v>
      </c>
      <c r="AV16" s="110">
        <f t="shared" si="32"/>
        <v>20</v>
      </c>
      <c r="AW16" s="110">
        <f t="shared" si="34"/>
        <v>1</v>
      </c>
      <c r="AX16" s="110">
        <f t="shared" si="35"/>
        <v>6</v>
      </c>
      <c r="AY16" s="110">
        <f t="shared" si="36"/>
        <v>4</v>
      </c>
      <c r="AZ16" s="113">
        <f t="shared" si="37"/>
        <v>28</v>
      </c>
      <c r="BA16" s="113">
        <f t="shared" si="38"/>
        <v>27</v>
      </c>
      <c r="BB16" s="116">
        <v>18000</v>
      </c>
      <c r="BC16" s="119">
        <f>JanReport[[#This Row],[SALARY]]/JanReport[[#This Row],[DAYS]]</f>
        <v>642.85714285714289</v>
      </c>
      <c r="BD16" s="119">
        <f>JanReport[[#This Row],[SALARY]]-JanReport[[#This Row],[ DEDUCTION]]</f>
        <v>17357.142857142859</v>
      </c>
      <c r="BE16" s="136"/>
      <c r="BF16" s="14"/>
      <c r="BG16" s="14"/>
      <c r="BH16" s="76"/>
      <c r="BI16" s="4"/>
      <c r="BJ16" s="4"/>
      <c r="BK16" s="4"/>
      <c r="BL16" s="4"/>
      <c r="BM16" s="4"/>
      <c r="BN16" s="4"/>
    </row>
    <row r="17" spans="4:66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33"/>
        <v>4</v>
      </c>
      <c r="K17" s="51" t="s">
        <v>39</v>
      </c>
      <c r="L17" s="51" t="s">
        <v>38</v>
      </c>
      <c r="M17" s="51" t="s">
        <v>38</v>
      </c>
      <c r="N17" s="51" t="s">
        <v>38</v>
      </c>
      <c r="O17" s="51" t="str">
        <f t="shared" ref="O17:V27" si="40">IF(O$6="sun","Wo"," ")</f>
        <v>Wo</v>
      </c>
      <c r="P17" s="51" t="s">
        <v>38</v>
      </c>
      <c r="Q17" s="51" t="s">
        <v>38</v>
      </c>
      <c r="R17" s="51" t="s">
        <v>40</v>
      </c>
      <c r="S17" s="51" t="s">
        <v>38</v>
      </c>
      <c r="T17" s="51" t="s">
        <v>38</v>
      </c>
      <c r="U17" s="51" t="s">
        <v>38</v>
      </c>
      <c r="V17" s="51" t="str">
        <f t="shared" si="40"/>
        <v>Wo</v>
      </c>
      <c r="W17" s="51" t="s">
        <v>38</v>
      </c>
      <c r="X17" s="51" t="s">
        <v>38</v>
      </c>
      <c r="Y17" s="51" t="s">
        <v>38</v>
      </c>
      <c r="Z17" s="51" t="s">
        <v>40</v>
      </c>
      <c r="AA17" s="51" t="s">
        <v>38</v>
      </c>
      <c r="AB17" s="51" t="s">
        <v>38</v>
      </c>
      <c r="AC17" s="51" t="str">
        <f t="shared" ref="AC17:AJ27" si="41">IF(AC$6="sun","Wo"," ")</f>
        <v>Wo</v>
      </c>
      <c r="AD17" s="65" t="s">
        <v>38</v>
      </c>
      <c r="AE17" s="65" t="s">
        <v>38</v>
      </c>
      <c r="AF17" s="65" t="s">
        <v>40</v>
      </c>
      <c r="AG17" s="65" t="s">
        <v>38</v>
      </c>
      <c r="AH17" s="65" t="s">
        <v>40</v>
      </c>
      <c r="AI17" s="65" t="s">
        <v>38</v>
      </c>
      <c r="AJ17" s="65" t="str">
        <f t="shared" si="41"/>
        <v>Wo</v>
      </c>
      <c r="AK17" s="65" t="s">
        <v>38</v>
      </c>
      <c r="AL17" s="65" t="s">
        <v>38</v>
      </c>
      <c r="AM17" s="65" t="s">
        <v>38</v>
      </c>
      <c r="AN17" s="65" t="s">
        <v>40</v>
      </c>
      <c r="AO17" s="16" t="s">
        <v>38</v>
      </c>
      <c r="AP17" s="77"/>
      <c r="AQ17" s="13"/>
      <c r="AR17" s="7">
        <v>10</v>
      </c>
      <c r="AS17" s="107">
        <v>1010</v>
      </c>
      <c r="AT17" s="107" t="str">
        <f t="shared" si="31"/>
        <v>February</v>
      </c>
      <c r="AU17" s="107" t="s">
        <v>10</v>
      </c>
      <c r="AV17" s="110">
        <f t="shared" si="32"/>
        <v>21</v>
      </c>
      <c r="AW17" s="110">
        <f t="shared" si="34"/>
        <v>1</v>
      </c>
      <c r="AX17" s="110">
        <f t="shared" si="35"/>
        <v>5</v>
      </c>
      <c r="AY17" s="110">
        <f t="shared" si="36"/>
        <v>4</v>
      </c>
      <c r="AZ17" s="113">
        <f t="shared" si="37"/>
        <v>28</v>
      </c>
      <c r="BA17" s="113">
        <f t="shared" si="38"/>
        <v>27</v>
      </c>
      <c r="BB17" s="116">
        <v>45000</v>
      </c>
      <c r="BC17" s="119">
        <f>JanReport[[#This Row],[SALARY]]/JanReport[[#This Row],[DAYS]]</f>
        <v>1607.1428571428571</v>
      </c>
      <c r="BD17" s="119">
        <f>JanReport[[#This Row],[SALARY]]-JanReport[[#This Row],[ DEDUCTION]]</f>
        <v>43392.857142857145</v>
      </c>
      <c r="BE17" s="136"/>
      <c r="BF17" s="14"/>
      <c r="BG17" s="14"/>
      <c r="BH17" s="76"/>
      <c r="BI17" s="4"/>
      <c r="BJ17" s="4"/>
      <c r="BK17" s="4"/>
      <c r="BL17" s="4"/>
      <c r="BM17" s="4"/>
      <c r="BN17" s="4"/>
    </row>
    <row r="18" spans="4:66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33"/>
        <v>4</v>
      </c>
      <c r="K18" s="51" t="s">
        <v>38</v>
      </c>
      <c r="L18" s="51" t="s">
        <v>38</v>
      </c>
      <c r="M18" s="51" t="s">
        <v>38</v>
      </c>
      <c r="N18" s="51" t="s">
        <v>38</v>
      </c>
      <c r="O18" s="51" t="str">
        <f t="shared" si="40"/>
        <v>Wo</v>
      </c>
      <c r="P18" s="51" t="s">
        <v>38</v>
      </c>
      <c r="Q18" s="51" t="s">
        <v>40</v>
      </c>
      <c r="R18" s="51" t="s">
        <v>40</v>
      </c>
      <c r="S18" s="51" t="s">
        <v>38</v>
      </c>
      <c r="T18" s="51" t="s">
        <v>39</v>
      </c>
      <c r="U18" s="51" t="s">
        <v>38</v>
      </c>
      <c r="V18" s="51" t="str">
        <f t="shared" si="40"/>
        <v>Wo</v>
      </c>
      <c r="W18" s="51" t="s">
        <v>38</v>
      </c>
      <c r="X18" s="51" t="s">
        <v>38</v>
      </c>
      <c r="Y18" s="51" t="s">
        <v>38</v>
      </c>
      <c r="Z18" s="51" t="s">
        <v>40</v>
      </c>
      <c r="AA18" s="51" t="s">
        <v>38</v>
      </c>
      <c r="AB18" s="51" t="s">
        <v>38</v>
      </c>
      <c r="AC18" s="51" t="str">
        <f t="shared" si="41"/>
        <v>Wo</v>
      </c>
      <c r="AD18" s="65" t="s">
        <v>38</v>
      </c>
      <c r="AE18" s="65" t="s">
        <v>38</v>
      </c>
      <c r="AF18" s="65" t="s">
        <v>40</v>
      </c>
      <c r="AG18" s="65" t="s">
        <v>38</v>
      </c>
      <c r="AH18" s="65" t="s">
        <v>38</v>
      </c>
      <c r="AI18" s="65" t="s">
        <v>38</v>
      </c>
      <c r="AJ18" s="65" t="str">
        <f t="shared" si="41"/>
        <v>Wo</v>
      </c>
      <c r="AK18" s="65" t="s">
        <v>38</v>
      </c>
      <c r="AL18" s="65" t="s">
        <v>38</v>
      </c>
      <c r="AM18" s="65" t="s">
        <v>38</v>
      </c>
      <c r="AN18" s="65" t="s">
        <v>40</v>
      </c>
      <c r="AO18" s="16" t="s">
        <v>38</v>
      </c>
      <c r="AP18" s="77"/>
      <c r="AQ18" s="13"/>
      <c r="AR18" s="7">
        <v>11</v>
      </c>
      <c r="AS18" s="107">
        <v>1011</v>
      </c>
      <c r="AT18" s="107" t="str">
        <f t="shared" si="31"/>
        <v>February</v>
      </c>
      <c r="AU18" s="107" t="s">
        <v>11</v>
      </c>
      <c r="AV18" s="110">
        <f t="shared" si="32"/>
        <v>21</v>
      </c>
      <c r="AW18" s="110">
        <f t="shared" si="34"/>
        <v>1</v>
      </c>
      <c r="AX18" s="110">
        <f t="shared" si="35"/>
        <v>5</v>
      </c>
      <c r="AY18" s="110">
        <f t="shared" si="36"/>
        <v>4</v>
      </c>
      <c r="AZ18" s="113">
        <f t="shared" si="37"/>
        <v>28</v>
      </c>
      <c r="BA18" s="113">
        <f t="shared" si="38"/>
        <v>27</v>
      </c>
      <c r="BB18" s="116">
        <v>55000</v>
      </c>
      <c r="BC18" s="119">
        <f>JanReport[[#This Row],[SALARY]]/JanReport[[#This Row],[DAYS]]</f>
        <v>1964.2857142857142</v>
      </c>
      <c r="BD18" s="119">
        <f>JanReport[[#This Row],[SALARY]]-JanReport[[#This Row],[ DEDUCTION]]</f>
        <v>53035.714285714283</v>
      </c>
      <c r="BE18" s="136"/>
      <c r="BF18" s="14"/>
      <c r="BG18" s="14"/>
      <c r="BH18" s="76"/>
      <c r="BI18" s="4"/>
      <c r="BJ18" s="4"/>
      <c r="BK18" s="4"/>
      <c r="BL18" s="4"/>
      <c r="BM18" s="4"/>
      <c r="BN18" s="4"/>
    </row>
    <row r="19" spans="4:66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33"/>
        <v>4</v>
      </c>
      <c r="K19" s="51" t="s">
        <v>38</v>
      </c>
      <c r="L19" s="51" t="s">
        <v>38</v>
      </c>
      <c r="M19" s="51" t="s">
        <v>39</v>
      </c>
      <c r="N19" s="51" t="s">
        <v>38</v>
      </c>
      <c r="O19" s="51" t="str">
        <f t="shared" si="40"/>
        <v>Wo</v>
      </c>
      <c r="P19" s="51" t="s">
        <v>38</v>
      </c>
      <c r="Q19" s="51" t="s">
        <v>38</v>
      </c>
      <c r="R19" s="51" t="s">
        <v>40</v>
      </c>
      <c r="S19" s="51" t="s">
        <v>38</v>
      </c>
      <c r="T19" s="51" t="s">
        <v>38</v>
      </c>
      <c r="U19" s="51" t="s">
        <v>38</v>
      </c>
      <c r="V19" s="51" t="str">
        <f t="shared" si="40"/>
        <v>Wo</v>
      </c>
      <c r="W19" s="51" t="s">
        <v>38</v>
      </c>
      <c r="X19" s="51" t="s">
        <v>38</v>
      </c>
      <c r="Y19" s="51" t="s">
        <v>38</v>
      </c>
      <c r="Z19" s="51" t="s">
        <v>40</v>
      </c>
      <c r="AA19" s="51" t="s">
        <v>38</v>
      </c>
      <c r="AB19" s="51" t="s">
        <v>38</v>
      </c>
      <c r="AC19" s="51" t="str">
        <f t="shared" si="41"/>
        <v>Wo</v>
      </c>
      <c r="AD19" s="65" t="s">
        <v>38</v>
      </c>
      <c r="AE19" s="65" t="s">
        <v>39</v>
      </c>
      <c r="AF19" s="65" t="s">
        <v>40</v>
      </c>
      <c r="AG19" s="65" t="s">
        <v>38</v>
      </c>
      <c r="AH19" s="65" t="s">
        <v>38</v>
      </c>
      <c r="AI19" s="65" t="s">
        <v>38</v>
      </c>
      <c r="AJ19" s="65" t="str">
        <f t="shared" si="41"/>
        <v>Wo</v>
      </c>
      <c r="AK19" s="65" t="s">
        <v>38</v>
      </c>
      <c r="AL19" s="65" t="s">
        <v>38</v>
      </c>
      <c r="AM19" s="65" t="s">
        <v>38</v>
      </c>
      <c r="AN19" s="65" t="s">
        <v>40</v>
      </c>
      <c r="AO19" s="16" t="s">
        <v>38</v>
      </c>
      <c r="AP19" s="77"/>
      <c r="AQ19" s="13"/>
      <c r="AR19" s="7">
        <v>12</v>
      </c>
      <c r="AS19" s="107">
        <v>1012</v>
      </c>
      <c r="AT19" s="107" t="str">
        <f t="shared" si="31"/>
        <v>February</v>
      </c>
      <c r="AU19" s="107" t="s">
        <v>12</v>
      </c>
      <c r="AV19" s="110">
        <f t="shared" si="32"/>
        <v>21</v>
      </c>
      <c r="AW19" s="110">
        <f t="shared" si="34"/>
        <v>2</v>
      </c>
      <c r="AX19" s="110">
        <f t="shared" si="35"/>
        <v>4</v>
      </c>
      <c r="AY19" s="110">
        <f t="shared" si="36"/>
        <v>4</v>
      </c>
      <c r="AZ19" s="113">
        <f t="shared" si="37"/>
        <v>28</v>
      </c>
      <c r="BA19" s="113">
        <f t="shared" si="38"/>
        <v>26</v>
      </c>
      <c r="BB19" s="116">
        <v>65000</v>
      </c>
      <c r="BC19" s="119">
        <f>JanReport[[#This Row],[SALARY]]/JanReport[[#This Row],[DAYS]]</f>
        <v>2321.4285714285716</v>
      </c>
      <c r="BD19" s="119">
        <f>JanReport[[#This Row],[SALARY]]-JanReport[[#This Row],[ DEDUCTION]]</f>
        <v>62678.571428571428</v>
      </c>
      <c r="BE19" s="136"/>
      <c r="BF19" s="14"/>
      <c r="BG19" s="14"/>
      <c r="BH19" s="76"/>
      <c r="BI19" s="4"/>
      <c r="BJ19" s="4"/>
      <c r="BK19" s="4"/>
      <c r="BL19" s="4"/>
      <c r="BM19" s="4"/>
      <c r="BN19" s="4"/>
    </row>
    <row r="20" spans="4:66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33"/>
        <v>4</v>
      </c>
      <c r="K20" s="51" t="s">
        <v>38</v>
      </c>
      <c r="L20" s="51" t="s">
        <v>38</v>
      </c>
      <c r="M20" s="51" t="s">
        <v>38</v>
      </c>
      <c r="N20" s="51" t="s">
        <v>38</v>
      </c>
      <c r="O20" s="51" t="str">
        <f t="shared" si="40"/>
        <v>Wo</v>
      </c>
      <c r="P20" s="51" t="s">
        <v>38</v>
      </c>
      <c r="Q20" s="51" t="s">
        <v>38</v>
      </c>
      <c r="R20" s="51" t="s">
        <v>40</v>
      </c>
      <c r="S20" s="51" t="s">
        <v>38</v>
      </c>
      <c r="T20" s="51" t="s">
        <v>38</v>
      </c>
      <c r="U20" s="51" t="s">
        <v>38</v>
      </c>
      <c r="V20" s="51" t="str">
        <f t="shared" si="40"/>
        <v>Wo</v>
      </c>
      <c r="W20" s="51" t="s">
        <v>39</v>
      </c>
      <c r="X20" s="51" t="s">
        <v>38</v>
      </c>
      <c r="Y20" s="51" t="s">
        <v>38</v>
      </c>
      <c r="Z20" s="51" t="s">
        <v>40</v>
      </c>
      <c r="AA20" s="51" t="s">
        <v>38</v>
      </c>
      <c r="AB20" s="51" t="s">
        <v>38</v>
      </c>
      <c r="AC20" s="51" t="str">
        <f t="shared" si="41"/>
        <v>Wo</v>
      </c>
      <c r="AD20" s="65" t="s">
        <v>38</v>
      </c>
      <c r="AE20" s="65" t="s">
        <v>38</v>
      </c>
      <c r="AF20" s="65" t="s">
        <v>40</v>
      </c>
      <c r="AG20" s="65" t="s">
        <v>38</v>
      </c>
      <c r="AH20" s="65" t="s">
        <v>38</v>
      </c>
      <c r="AI20" s="65" t="s">
        <v>38</v>
      </c>
      <c r="AJ20" s="65" t="str">
        <f t="shared" si="41"/>
        <v>Wo</v>
      </c>
      <c r="AK20" s="65" t="s">
        <v>38</v>
      </c>
      <c r="AL20" s="65" t="s">
        <v>38</v>
      </c>
      <c r="AM20" s="65" t="s">
        <v>40</v>
      </c>
      <c r="AN20" s="65" t="s">
        <v>40</v>
      </c>
      <c r="AO20" s="16" t="s">
        <v>38</v>
      </c>
      <c r="AP20" s="77"/>
      <c r="AQ20" s="13"/>
      <c r="AR20" s="7">
        <v>13</v>
      </c>
      <c r="AS20" s="107">
        <v>1013</v>
      </c>
      <c r="AT20" s="107" t="str">
        <f t="shared" si="31"/>
        <v>February</v>
      </c>
      <c r="AU20" s="107" t="s">
        <v>13</v>
      </c>
      <c r="AV20" s="110">
        <f t="shared" si="32"/>
        <v>21</v>
      </c>
      <c r="AW20" s="110">
        <f t="shared" si="34"/>
        <v>1</v>
      </c>
      <c r="AX20" s="110">
        <f t="shared" si="35"/>
        <v>5</v>
      </c>
      <c r="AY20" s="110">
        <f t="shared" si="36"/>
        <v>4</v>
      </c>
      <c r="AZ20" s="113">
        <f t="shared" si="37"/>
        <v>28</v>
      </c>
      <c r="BA20" s="113">
        <f t="shared" si="38"/>
        <v>27</v>
      </c>
      <c r="BB20" s="116">
        <v>68000</v>
      </c>
      <c r="BC20" s="119">
        <f>JanReport[[#This Row],[SALARY]]/JanReport[[#This Row],[DAYS]]</f>
        <v>2428.5714285714284</v>
      </c>
      <c r="BD20" s="119">
        <f>JanReport[[#This Row],[SALARY]]-JanReport[[#This Row],[ DEDUCTION]]</f>
        <v>65571.428571428565</v>
      </c>
      <c r="BE20" s="136"/>
      <c r="BF20" s="14"/>
      <c r="BG20" s="14"/>
      <c r="BH20" s="76"/>
      <c r="BI20" s="4"/>
      <c r="BJ20" s="4"/>
      <c r="BK20" s="4"/>
      <c r="BL20" s="4"/>
      <c r="BM20" s="4"/>
      <c r="BN20" s="4"/>
    </row>
    <row r="21" spans="4:66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33"/>
        <v>4</v>
      </c>
      <c r="K21" s="51" t="s">
        <v>38</v>
      </c>
      <c r="L21" s="51" t="s">
        <v>38</v>
      </c>
      <c r="M21" s="51" t="s">
        <v>38</v>
      </c>
      <c r="N21" s="51" t="s">
        <v>38</v>
      </c>
      <c r="O21" s="51" t="str">
        <f t="shared" si="40"/>
        <v>Wo</v>
      </c>
      <c r="P21" s="51" t="s">
        <v>38</v>
      </c>
      <c r="Q21" s="51" t="s">
        <v>38</v>
      </c>
      <c r="R21" s="51" t="s">
        <v>40</v>
      </c>
      <c r="S21" s="51" t="s">
        <v>38</v>
      </c>
      <c r="T21" s="51" t="s">
        <v>38</v>
      </c>
      <c r="U21" s="51" t="s">
        <v>38</v>
      </c>
      <c r="V21" s="51" t="str">
        <f t="shared" si="40"/>
        <v>Wo</v>
      </c>
      <c r="W21" s="51" t="s">
        <v>40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51" t="str">
        <f t="shared" si="41"/>
        <v>Wo</v>
      </c>
      <c r="AD21" s="65" t="s">
        <v>38</v>
      </c>
      <c r="AE21" s="65" t="s">
        <v>38</v>
      </c>
      <c r="AF21" s="65" t="s">
        <v>40</v>
      </c>
      <c r="AG21" s="65" t="s">
        <v>38</v>
      </c>
      <c r="AH21" s="65" t="s">
        <v>38</v>
      </c>
      <c r="AI21" s="65" t="s">
        <v>39</v>
      </c>
      <c r="AJ21" s="65" t="str">
        <f t="shared" si="41"/>
        <v>Wo</v>
      </c>
      <c r="AK21" s="65" t="s">
        <v>38</v>
      </c>
      <c r="AL21" s="65" t="s">
        <v>38</v>
      </c>
      <c r="AM21" s="65" t="s">
        <v>38</v>
      </c>
      <c r="AN21" s="65" t="s">
        <v>40</v>
      </c>
      <c r="AO21" s="16" t="s">
        <v>38</v>
      </c>
      <c r="AP21" s="77"/>
      <c r="AQ21" s="13"/>
      <c r="AR21" s="7">
        <v>14</v>
      </c>
      <c r="AS21" s="107">
        <v>1014</v>
      </c>
      <c r="AT21" s="107" t="str">
        <f t="shared" si="31"/>
        <v>February</v>
      </c>
      <c r="AU21" s="107" t="s">
        <v>14</v>
      </c>
      <c r="AV21" s="110">
        <f t="shared" si="32"/>
        <v>21</v>
      </c>
      <c r="AW21" s="110">
        <f t="shared" si="34"/>
        <v>1</v>
      </c>
      <c r="AX21" s="110">
        <f t="shared" si="35"/>
        <v>5</v>
      </c>
      <c r="AY21" s="110">
        <f t="shared" si="36"/>
        <v>4</v>
      </c>
      <c r="AZ21" s="113">
        <f t="shared" si="37"/>
        <v>28</v>
      </c>
      <c r="BA21" s="113">
        <f t="shared" si="38"/>
        <v>27</v>
      </c>
      <c r="BB21" s="116">
        <v>72000</v>
      </c>
      <c r="BC21" s="119">
        <f>JanReport[[#This Row],[SALARY]]/JanReport[[#This Row],[DAYS]]</f>
        <v>2571.4285714285716</v>
      </c>
      <c r="BD21" s="119">
        <f>JanReport[[#This Row],[SALARY]]-JanReport[[#This Row],[ DEDUCTION]]</f>
        <v>69428.571428571435</v>
      </c>
      <c r="BE21" s="136"/>
      <c r="BF21" s="14"/>
      <c r="BG21" s="14"/>
      <c r="BH21" s="76"/>
      <c r="BI21" s="4"/>
      <c r="BJ21" s="4"/>
      <c r="BK21" s="4"/>
      <c r="BL21" s="4"/>
      <c r="BM21" s="4"/>
      <c r="BN21" s="4"/>
    </row>
    <row r="22" spans="4:66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33"/>
        <v>4</v>
      </c>
      <c r="K22" s="51" t="s">
        <v>38</v>
      </c>
      <c r="L22" s="51" t="s">
        <v>38</v>
      </c>
      <c r="M22" s="51" t="s">
        <v>38</v>
      </c>
      <c r="N22" s="51" t="s">
        <v>38</v>
      </c>
      <c r="O22" s="51" t="str">
        <f t="shared" si="40"/>
        <v>Wo</v>
      </c>
      <c r="P22" s="51" t="s">
        <v>38</v>
      </c>
      <c r="Q22" s="51" t="s">
        <v>38</v>
      </c>
      <c r="R22" s="51" t="s">
        <v>40</v>
      </c>
      <c r="S22" s="51" t="s">
        <v>38</v>
      </c>
      <c r="T22" s="51" t="s">
        <v>38</v>
      </c>
      <c r="U22" s="51" t="s">
        <v>38</v>
      </c>
      <c r="V22" s="51" t="str">
        <f t="shared" si="40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51" t="str">
        <f t="shared" si="41"/>
        <v>Wo</v>
      </c>
      <c r="AD22" s="65" t="s">
        <v>38</v>
      </c>
      <c r="AE22" s="65" t="s">
        <v>38</v>
      </c>
      <c r="AF22" s="65" t="s">
        <v>40</v>
      </c>
      <c r="AG22" s="65" t="s">
        <v>38</v>
      </c>
      <c r="AH22" s="65" t="s">
        <v>38</v>
      </c>
      <c r="AI22" s="65" t="s">
        <v>38</v>
      </c>
      <c r="AJ22" s="65" t="str">
        <f t="shared" si="41"/>
        <v>Wo</v>
      </c>
      <c r="AK22" s="65" t="s">
        <v>38</v>
      </c>
      <c r="AL22" s="65" t="s">
        <v>38</v>
      </c>
      <c r="AM22" s="65" t="s">
        <v>38</v>
      </c>
      <c r="AN22" s="65" t="s">
        <v>40</v>
      </c>
      <c r="AO22" s="16" t="s">
        <v>38</v>
      </c>
      <c r="AP22" s="77"/>
      <c r="AQ22" s="13"/>
      <c r="AR22" s="7">
        <v>15</v>
      </c>
      <c r="AS22" s="107">
        <v>1015</v>
      </c>
      <c r="AT22" s="107" t="str">
        <f t="shared" si="31"/>
        <v>February</v>
      </c>
      <c r="AU22" s="107" t="s">
        <v>15</v>
      </c>
      <c r="AV22" s="110">
        <f t="shared" si="32"/>
        <v>23</v>
      </c>
      <c r="AW22" s="110">
        <f t="shared" si="34"/>
        <v>0</v>
      </c>
      <c r="AX22" s="110">
        <f t="shared" si="35"/>
        <v>4</v>
      </c>
      <c r="AY22" s="110">
        <f t="shared" si="36"/>
        <v>4</v>
      </c>
      <c r="AZ22" s="113">
        <f t="shared" si="37"/>
        <v>28</v>
      </c>
      <c r="BA22" s="113">
        <f t="shared" si="38"/>
        <v>28</v>
      </c>
      <c r="BB22" s="116">
        <v>20000</v>
      </c>
      <c r="BC22" s="119">
        <f>JanReport[[#This Row],[SALARY]]/JanReport[[#This Row],[DAYS]]</f>
        <v>714.28571428571433</v>
      </c>
      <c r="BD22" s="119">
        <f>JanReport[[#This Row],[SALARY]]-JanReport[[#This Row],[ DEDUCTION]]</f>
        <v>19285.714285714286</v>
      </c>
      <c r="BE22" s="136"/>
      <c r="BF22" s="14"/>
      <c r="BG22" s="14"/>
      <c r="BH22" s="76"/>
      <c r="BI22" s="4"/>
      <c r="BJ22" s="4"/>
      <c r="BK22" s="4"/>
      <c r="BL22" s="4"/>
      <c r="BM22" s="4"/>
      <c r="BN22" s="4"/>
    </row>
    <row r="23" spans="4:66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33"/>
        <v>4</v>
      </c>
      <c r="K23" s="51" t="s">
        <v>38</v>
      </c>
      <c r="L23" s="51" t="s">
        <v>38</v>
      </c>
      <c r="M23" s="51" t="s">
        <v>38</v>
      </c>
      <c r="N23" s="51" t="s">
        <v>39</v>
      </c>
      <c r="O23" s="51" t="str">
        <f t="shared" si="40"/>
        <v>Wo</v>
      </c>
      <c r="P23" s="51" t="s">
        <v>38</v>
      </c>
      <c r="Q23" s="51" t="s">
        <v>38</v>
      </c>
      <c r="R23" s="51" t="s">
        <v>40</v>
      </c>
      <c r="S23" s="51" t="s">
        <v>39</v>
      </c>
      <c r="T23" s="51" t="s">
        <v>38</v>
      </c>
      <c r="U23" s="51" t="s">
        <v>38</v>
      </c>
      <c r="V23" s="51" t="str">
        <f t="shared" si="40"/>
        <v>Wo</v>
      </c>
      <c r="W23" s="51" t="s">
        <v>38</v>
      </c>
      <c r="X23" s="51" t="s">
        <v>38</v>
      </c>
      <c r="Y23" s="51" t="s">
        <v>38</v>
      </c>
      <c r="Z23" s="51" t="s">
        <v>40</v>
      </c>
      <c r="AA23" s="51" t="s">
        <v>38</v>
      </c>
      <c r="AB23" s="51" t="s">
        <v>38</v>
      </c>
      <c r="AC23" s="51" t="str">
        <f t="shared" si="41"/>
        <v>Wo</v>
      </c>
      <c r="AD23" s="65" t="s">
        <v>38</v>
      </c>
      <c r="AE23" s="65" t="s">
        <v>38</v>
      </c>
      <c r="AF23" s="65" t="s">
        <v>40</v>
      </c>
      <c r="AG23" s="65" t="s">
        <v>39</v>
      </c>
      <c r="AH23" s="65" t="s">
        <v>38</v>
      </c>
      <c r="AI23" s="65" t="s">
        <v>38</v>
      </c>
      <c r="AJ23" s="65" t="str">
        <f t="shared" si="41"/>
        <v>Wo</v>
      </c>
      <c r="AK23" s="65" t="s">
        <v>38</v>
      </c>
      <c r="AL23" s="65" t="s">
        <v>38</v>
      </c>
      <c r="AM23" s="65" t="s">
        <v>38</v>
      </c>
      <c r="AN23" s="65" t="s">
        <v>40</v>
      </c>
      <c r="AO23" s="16" t="s">
        <v>38</v>
      </c>
      <c r="AP23" s="77"/>
      <c r="AQ23" s="13"/>
      <c r="AR23" s="7">
        <v>16</v>
      </c>
      <c r="AS23" s="107">
        <v>1016</v>
      </c>
      <c r="AT23" s="107" t="str">
        <f t="shared" si="31"/>
        <v>February</v>
      </c>
      <c r="AU23" s="107" t="s">
        <v>16</v>
      </c>
      <c r="AV23" s="110">
        <f t="shared" si="32"/>
        <v>20</v>
      </c>
      <c r="AW23" s="110">
        <f t="shared" si="34"/>
        <v>3</v>
      </c>
      <c r="AX23" s="110">
        <f t="shared" si="35"/>
        <v>4</v>
      </c>
      <c r="AY23" s="110">
        <f t="shared" si="36"/>
        <v>4</v>
      </c>
      <c r="AZ23" s="113">
        <f t="shared" si="37"/>
        <v>28</v>
      </c>
      <c r="BA23" s="113">
        <f t="shared" si="38"/>
        <v>25</v>
      </c>
      <c r="BB23" s="116">
        <v>56000</v>
      </c>
      <c r="BC23" s="119">
        <f>JanReport[[#This Row],[SALARY]]/JanReport[[#This Row],[DAYS]]</f>
        <v>2000</v>
      </c>
      <c r="BD23" s="119">
        <f>JanReport[[#This Row],[SALARY]]-JanReport[[#This Row],[ DEDUCTION]]</f>
        <v>54000</v>
      </c>
      <c r="BE23" s="136"/>
      <c r="BF23" s="14"/>
      <c r="BG23" s="14"/>
      <c r="BH23" s="76"/>
      <c r="BI23" s="4"/>
      <c r="BJ23" s="4"/>
      <c r="BK23" s="4"/>
      <c r="BL23" s="4"/>
      <c r="BM23" s="4"/>
      <c r="BN23" s="4"/>
    </row>
    <row r="24" spans="4:66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33"/>
        <v>4</v>
      </c>
      <c r="K24" s="51" t="s">
        <v>39</v>
      </c>
      <c r="L24" s="51" t="s">
        <v>38</v>
      </c>
      <c r="M24" s="51" t="s">
        <v>38</v>
      </c>
      <c r="N24" s="51" t="s">
        <v>38</v>
      </c>
      <c r="O24" s="51" t="str">
        <f t="shared" si="40"/>
        <v>Wo</v>
      </c>
      <c r="P24" s="51" t="s">
        <v>38</v>
      </c>
      <c r="Q24" s="51" t="s">
        <v>38</v>
      </c>
      <c r="R24" s="51" t="s">
        <v>40</v>
      </c>
      <c r="S24" s="51" t="s">
        <v>38</v>
      </c>
      <c r="T24" s="51" t="s">
        <v>38</v>
      </c>
      <c r="U24" s="51" t="s">
        <v>38</v>
      </c>
      <c r="V24" s="51" t="str">
        <f t="shared" si="40"/>
        <v>Wo</v>
      </c>
      <c r="W24" s="51" t="s">
        <v>38</v>
      </c>
      <c r="X24" s="51" t="s">
        <v>38</v>
      </c>
      <c r="Y24" s="51" t="s">
        <v>38</v>
      </c>
      <c r="Z24" s="51" t="s">
        <v>40</v>
      </c>
      <c r="AA24" s="51" t="s">
        <v>38</v>
      </c>
      <c r="AB24" s="51" t="s">
        <v>38</v>
      </c>
      <c r="AC24" s="51" t="str">
        <f t="shared" si="41"/>
        <v>Wo</v>
      </c>
      <c r="AD24" s="65" t="s">
        <v>38</v>
      </c>
      <c r="AE24" s="65" t="s">
        <v>38</v>
      </c>
      <c r="AF24" s="65" t="s">
        <v>40</v>
      </c>
      <c r="AG24" s="65" t="s">
        <v>38</v>
      </c>
      <c r="AH24" s="65" t="s">
        <v>38</v>
      </c>
      <c r="AI24" s="65" t="s">
        <v>38</v>
      </c>
      <c r="AJ24" s="65" t="str">
        <f t="shared" si="41"/>
        <v>Wo</v>
      </c>
      <c r="AK24" s="65" t="s">
        <v>38</v>
      </c>
      <c r="AL24" s="65" t="s">
        <v>39</v>
      </c>
      <c r="AM24" s="65" t="s">
        <v>38</v>
      </c>
      <c r="AN24" s="65" t="s">
        <v>40</v>
      </c>
      <c r="AO24" s="16" t="s">
        <v>38</v>
      </c>
      <c r="AP24" s="77"/>
      <c r="AQ24" s="13"/>
      <c r="AR24" s="7">
        <v>17</v>
      </c>
      <c r="AS24" s="107">
        <v>1017</v>
      </c>
      <c r="AT24" s="107" t="str">
        <f t="shared" si="31"/>
        <v>February</v>
      </c>
      <c r="AU24" s="107" t="s">
        <v>17</v>
      </c>
      <c r="AV24" s="110">
        <f t="shared" si="32"/>
        <v>21</v>
      </c>
      <c r="AW24" s="110">
        <f t="shared" si="34"/>
        <v>2</v>
      </c>
      <c r="AX24" s="110">
        <f t="shared" si="35"/>
        <v>4</v>
      </c>
      <c r="AY24" s="110">
        <f t="shared" si="36"/>
        <v>4</v>
      </c>
      <c r="AZ24" s="113">
        <f t="shared" si="37"/>
        <v>28</v>
      </c>
      <c r="BA24" s="113">
        <f t="shared" si="38"/>
        <v>26</v>
      </c>
      <c r="BB24" s="116">
        <v>35000</v>
      </c>
      <c r="BC24" s="119">
        <f>JanReport[[#This Row],[SALARY]]/JanReport[[#This Row],[DAYS]]</f>
        <v>1250</v>
      </c>
      <c r="BD24" s="119">
        <f>JanReport[[#This Row],[SALARY]]-JanReport[[#This Row],[ DEDUCTION]]</f>
        <v>33750</v>
      </c>
      <c r="BE24" s="136"/>
      <c r="BF24" s="14"/>
      <c r="BG24" s="14"/>
      <c r="BH24" s="76"/>
      <c r="BI24" s="4"/>
      <c r="BJ24" s="4"/>
      <c r="BK24" s="4"/>
      <c r="BL24" s="4"/>
      <c r="BM24" s="4"/>
      <c r="BN24" s="4"/>
    </row>
    <row r="25" spans="4:66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33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40"/>
        <v>Wo</v>
      </c>
      <c r="P25" s="51" t="s">
        <v>38</v>
      </c>
      <c r="Q25" s="51" t="s">
        <v>38</v>
      </c>
      <c r="R25" s="51" t="s">
        <v>40</v>
      </c>
      <c r="S25" s="51" t="s">
        <v>38</v>
      </c>
      <c r="T25" s="51" t="s">
        <v>38</v>
      </c>
      <c r="U25" s="51" t="s">
        <v>38</v>
      </c>
      <c r="V25" s="51" t="str">
        <f t="shared" si="40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38</v>
      </c>
      <c r="AB25" s="51" t="s">
        <v>38</v>
      </c>
      <c r="AC25" s="51" t="str">
        <f t="shared" si="41"/>
        <v>Wo</v>
      </c>
      <c r="AD25" s="65" t="s">
        <v>38</v>
      </c>
      <c r="AE25" s="65" t="s">
        <v>38</v>
      </c>
      <c r="AF25" s="65" t="s">
        <v>40</v>
      </c>
      <c r="AG25" s="65" t="s">
        <v>38</v>
      </c>
      <c r="AH25" s="65" t="s">
        <v>38</v>
      </c>
      <c r="AI25" s="65" t="s">
        <v>38</v>
      </c>
      <c r="AJ25" s="65" t="str">
        <f t="shared" si="41"/>
        <v>Wo</v>
      </c>
      <c r="AK25" s="65" t="s">
        <v>38</v>
      </c>
      <c r="AL25" s="65" t="s">
        <v>38</v>
      </c>
      <c r="AM25" s="65" t="s">
        <v>38</v>
      </c>
      <c r="AN25" s="65" t="s">
        <v>40</v>
      </c>
      <c r="AO25" s="16" t="s">
        <v>40</v>
      </c>
      <c r="AP25" s="77"/>
      <c r="AQ25" s="13"/>
      <c r="AR25" s="7">
        <v>18</v>
      </c>
      <c r="AS25" s="107">
        <v>1018</v>
      </c>
      <c r="AT25" s="107" t="str">
        <f t="shared" si="31"/>
        <v>February</v>
      </c>
      <c r="AU25" s="107" t="s">
        <v>18</v>
      </c>
      <c r="AV25" s="110">
        <f t="shared" si="32"/>
        <v>22</v>
      </c>
      <c r="AW25" s="110">
        <f t="shared" si="34"/>
        <v>0</v>
      </c>
      <c r="AX25" s="110">
        <f t="shared" si="35"/>
        <v>5</v>
      </c>
      <c r="AY25" s="110">
        <f t="shared" si="36"/>
        <v>4</v>
      </c>
      <c r="AZ25" s="113">
        <f t="shared" si="37"/>
        <v>28</v>
      </c>
      <c r="BA25" s="113">
        <f t="shared" si="38"/>
        <v>28</v>
      </c>
      <c r="BB25" s="116">
        <v>12000</v>
      </c>
      <c r="BC25" s="119">
        <f>JanReport[[#This Row],[SALARY]]/JanReport[[#This Row],[DAYS]]</f>
        <v>428.57142857142856</v>
      </c>
      <c r="BD25" s="119">
        <f>JanReport[[#This Row],[SALARY]]-JanReport[[#This Row],[ DEDUCTION]]</f>
        <v>11571.428571428571</v>
      </c>
      <c r="BE25" s="136"/>
      <c r="BF25" s="14"/>
      <c r="BG25" s="14"/>
      <c r="BH25" s="76"/>
      <c r="BI25" s="4"/>
      <c r="BJ25" s="4"/>
      <c r="BK25" s="4"/>
      <c r="BL25" s="4"/>
      <c r="BM25" s="4"/>
      <c r="BN25" s="4"/>
    </row>
    <row r="26" spans="4:66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33"/>
        <v>4</v>
      </c>
      <c r="K26" s="51" t="s">
        <v>38</v>
      </c>
      <c r="L26" s="51" t="s">
        <v>38</v>
      </c>
      <c r="M26" s="51" t="s">
        <v>38</v>
      </c>
      <c r="N26" s="51" t="s">
        <v>39</v>
      </c>
      <c r="O26" s="51" t="str">
        <f t="shared" si="40"/>
        <v>Wo</v>
      </c>
      <c r="P26" s="51" t="s">
        <v>38</v>
      </c>
      <c r="Q26" s="51" t="s">
        <v>38</v>
      </c>
      <c r="R26" s="51" t="s">
        <v>40</v>
      </c>
      <c r="S26" s="51" t="s">
        <v>38</v>
      </c>
      <c r="T26" s="51" t="s">
        <v>38</v>
      </c>
      <c r="U26" s="51" t="s">
        <v>38</v>
      </c>
      <c r="V26" s="51" t="str">
        <f t="shared" si="40"/>
        <v>Wo</v>
      </c>
      <c r="W26" s="51" t="s">
        <v>38</v>
      </c>
      <c r="X26" s="51" t="s">
        <v>38</v>
      </c>
      <c r="Y26" s="51" t="s">
        <v>38</v>
      </c>
      <c r="Z26" s="51" t="s">
        <v>40</v>
      </c>
      <c r="AA26" s="51" t="s">
        <v>38</v>
      </c>
      <c r="AB26" s="51" t="s">
        <v>38</v>
      </c>
      <c r="AC26" s="51" t="str">
        <f t="shared" si="41"/>
        <v>Wo</v>
      </c>
      <c r="AD26" s="65" t="s">
        <v>38</v>
      </c>
      <c r="AE26" s="65" t="s">
        <v>38</v>
      </c>
      <c r="AF26" s="65" t="s">
        <v>40</v>
      </c>
      <c r="AG26" s="65" t="s">
        <v>38</v>
      </c>
      <c r="AH26" s="65" t="s">
        <v>38</v>
      </c>
      <c r="AI26" s="65" t="s">
        <v>38</v>
      </c>
      <c r="AJ26" s="65" t="str">
        <f t="shared" si="41"/>
        <v>Wo</v>
      </c>
      <c r="AK26" s="65" t="s">
        <v>38</v>
      </c>
      <c r="AL26" s="65" t="s">
        <v>38</v>
      </c>
      <c r="AM26" s="65" t="s">
        <v>38</v>
      </c>
      <c r="AN26" s="65" t="s">
        <v>40</v>
      </c>
      <c r="AO26" s="16" t="s">
        <v>38</v>
      </c>
      <c r="AP26" s="77"/>
      <c r="AQ26" s="13"/>
      <c r="AR26" s="7">
        <v>19</v>
      </c>
      <c r="AS26" s="107">
        <v>1019</v>
      </c>
      <c r="AT26" s="107" t="str">
        <f t="shared" si="31"/>
        <v>February</v>
      </c>
      <c r="AU26" s="107" t="s">
        <v>19</v>
      </c>
      <c r="AV26" s="110">
        <f t="shared" si="32"/>
        <v>22</v>
      </c>
      <c r="AW26" s="110">
        <f t="shared" si="34"/>
        <v>1</v>
      </c>
      <c r="AX26" s="110">
        <f t="shared" si="35"/>
        <v>4</v>
      </c>
      <c r="AY26" s="110">
        <f t="shared" si="36"/>
        <v>4</v>
      </c>
      <c r="AZ26" s="113">
        <f t="shared" si="37"/>
        <v>28</v>
      </c>
      <c r="BA26" s="113">
        <f t="shared" si="38"/>
        <v>27</v>
      </c>
      <c r="BB26" s="116">
        <v>19000</v>
      </c>
      <c r="BC26" s="119">
        <f>JanReport[[#This Row],[SALARY]]/JanReport[[#This Row],[DAYS]]</f>
        <v>678.57142857142856</v>
      </c>
      <c r="BD26" s="119">
        <f>JanReport[[#This Row],[SALARY]]-JanReport[[#This Row],[ DEDUCTION]]</f>
        <v>18321.428571428572</v>
      </c>
      <c r="BE26" s="136"/>
      <c r="BF26" s="14"/>
      <c r="BG26" s="14"/>
      <c r="BH26" s="76"/>
      <c r="BI26" s="4"/>
      <c r="BJ26" s="4"/>
      <c r="BK26" s="4"/>
      <c r="BL26" s="4"/>
      <c r="BM26" s="4"/>
      <c r="BN26" s="4"/>
    </row>
    <row r="27" spans="4:66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33"/>
        <v>4</v>
      </c>
      <c r="K27" s="9" t="s">
        <v>38</v>
      </c>
      <c r="L27" s="9" t="s">
        <v>38</v>
      </c>
      <c r="M27" s="9" t="s">
        <v>38</v>
      </c>
      <c r="N27" s="9" t="s">
        <v>38</v>
      </c>
      <c r="O27" s="9" t="str">
        <f t="shared" si="40"/>
        <v>Wo</v>
      </c>
      <c r="P27" s="9" t="s">
        <v>38</v>
      </c>
      <c r="Q27" s="9" t="s">
        <v>39</v>
      </c>
      <c r="R27" s="9" t="s">
        <v>40</v>
      </c>
      <c r="S27" s="9" t="s">
        <v>38</v>
      </c>
      <c r="T27" s="9" t="s">
        <v>38</v>
      </c>
      <c r="U27" s="9" t="s">
        <v>38</v>
      </c>
      <c r="V27" s="9" t="str">
        <f t="shared" si="40"/>
        <v>Wo</v>
      </c>
      <c r="W27" s="9" t="s">
        <v>38</v>
      </c>
      <c r="X27" s="9" t="s">
        <v>38</v>
      </c>
      <c r="Y27" s="9" t="s">
        <v>38</v>
      </c>
      <c r="Z27" s="9" t="s">
        <v>40</v>
      </c>
      <c r="AA27" s="9" t="s">
        <v>38</v>
      </c>
      <c r="AB27" s="9" t="s">
        <v>39</v>
      </c>
      <c r="AC27" s="9" t="str">
        <f t="shared" si="41"/>
        <v>Wo</v>
      </c>
      <c r="AD27" s="17" t="s">
        <v>38</v>
      </c>
      <c r="AE27" s="17" t="s">
        <v>38</v>
      </c>
      <c r="AF27" s="17" t="s">
        <v>40</v>
      </c>
      <c r="AG27" s="17" t="s">
        <v>38</v>
      </c>
      <c r="AH27" s="17" t="s">
        <v>38</v>
      </c>
      <c r="AI27" s="17" t="s">
        <v>38</v>
      </c>
      <c r="AJ27" s="17" t="str">
        <f t="shared" si="41"/>
        <v>Wo</v>
      </c>
      <c r="AK27" s="17" t="s">
        <v>38</v>
      </c>
      <c r="AL27" s="17" t="s">
        <v>38</v>
      </c>
      <c r="AM27" s="17" t="s">
        <v>38</v>
      </c>
      <c r="AN27" s="17" t="s">
        <v>40</v>
      </c>
      <c r="AO27" s="24" t="s">
        <v>38</v>
      </c>
      <c r="AP27" s="77"/>
      <c r="AQ27" s="13"/>
      <c r="AR27" s="7">
        <v>20</v>
      </c>
      <c r="AS27" s="107">
        <v>1020</v>
      </c>
      <c r="AT27" s="107" t="str">
        <f t="shared" si="31"/>
        <v>February</v>
      </c>
      <c r="AU27" s="107" t="s">
        <v>20</v>
      </c>
      <c r="AV27" s="110">
        <f t="shared" si="32"/>
        <v>21</v>
      </c>
      <c r="AW27" s="110">
        <f t="shared" si="34"/>
        <v>2</v>
      </c>
      <c r="AX27" s="110">
        <f t="shared" si="35"/>
        <v>4</v>
      </c>
      <c r="AY27" s="110">
        <f t="shared" si="36"/>
        <v>4</v>
      </c>
      <c r="AZ27" s="113">
        <f t="shared" si="37"/>
        <v>28</v>
      </c>
      <c r="BA27" s="113">
        <f t="shared" si="38"/>
        <v>26</v>
      </c>
      <c r="BB27" s="116">
        <v>21000</v>
      </c>
      <c r="BC27" s="119">
        <f>JanReport[[#This Row],[SALARY]]/JanReport[[#This Row],[DAYS]]</f>
        <v>750</v>
      </c>
      <c r="BD27" s="119">
        <f>JanReport[[#This Row],[SALARY]]-JanReport[[#This Row],[ DEDUCTION]]</f>
        <v>20250</v>
      </c>
      <c r="BE27" s="136"/>
      <c r="BF27" s="14"/>
      <c r="BG27" s="14"/>
      <c r="BH27" s="76"/>
      <c r="BI27" s="4"/>
      <c r="BJ27" s="4"/>
      <c r="BK27" s="4"/>
      <c r="BL27" s="4"/>
      <c r="BM27" s="4"/>
      <c r="BN27" s="4"/>
    </row>
    <row r="28" spans="4:66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75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14"/>
      <c r="BH28" s="76"/>
      <c r="BI28" s="4"/>
      <c r="BJ28" s="4"/>
      <c r="BK28" s="4"/>
      <c r="BL28" s="4"/>
      <c r="BM28" s="4"/>
      <c r="BN28" s="4"/>
    </row>
    <row r="29" spans="4:66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75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14"/>
      <c r="BH29" s="76"/>
      <c r="BI29" s="4"/>
      <c r="BJ29" s="4"/>
      <c r="BK29" s="4"/>
      <c r="BL29" s="4"/>
      <c r="BM29" s="4"/>
      <c r="BN29" s="4"/>
    </row>
    <row r="30" spans="4:66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75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14"/>
      <c r="BH30" s="76"/>
      <c r="BI30" s="4"/>
      <c r="BJ30" s="4"/>
      <c r="BK30" s="4"/>
      <c r="BL30" s="4"/>
      <c r="BM30" s="4"/>
      <c r="BN30" s="4"/>
    </row>
    <row r="31" spans="4:66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75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14"/>
      <c r="BH31" s="76"/>
      <c r="BI31" s="4"/>
      <c r="BJ31" s="4"/>
      <c r="BK31" s="4"/>
      <c r="BL31" s="4"/>
      <c r="BM31" s="4"/>
      <c r="BN31" s="4"/>
    </row>
    <row r="32" spans="4:66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75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14"/>
      <c r="BH32" s="76"/>
      <c r="BI32" s="4"/>
      <c r="BJ32" s="4"/>
      <c r="BK32" s="4"/>
      <c r="BL32" s="4"/>
      <c r="BM32" s="4"/>
      <c r="BN32" s="4"/>
    </row>
    <row r="33" spans="1:66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75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14"/>
      <c r="BH33" s="76"/>
      <c r="BI33" s="4"/>
      <c r="BJ33" s="4"/>
      <c r="BK33" s="4"/>
      <c r="BL33" s="4"/>
      <c r="BM33" s="4"/>
      <c r="BN33" s="4"/>
    </row>
    <row r="34" spans="1:66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75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14"/>
      <c r="BH34" s="76"/>
      <c r="BI34" s="4"/>
      <c r="BJ34" s="4"/>
      <c r="BK34" s="4"/>
      <c r="BL34" s="4"/>
      <c r="BM34" s="4"/>
      <c r="BN34" s="4"/>
    </row>
    <row r="35" spans="1:66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75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14"/>
      <c r="BH35" s="76"/>
      <c r="BI35" s="4"/>
      <c r="BJ35" s="4"/>
      <c r="BK35" s="4"/>
      <c r="BL35" s="4"/>
      <c r="BM35" s="4"/>
      <c r="BN35" s="4"/>
    </row>
    <row r="36" spans="1:66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0"/>
      <c r="BF36" s="80"/>
      <c r="BG36" s="80"/>
      <c r="BH36" s="81"/>
      <c r="BI36" s="4"/>
      <c r="BJ36" s="4"/>
      <c r="BK36" s="4"/>
      <c r="BL36" s="4"/>
      <c r="BM36" s="4"/>
      <c r="BN36" s="4"/>
    </row>
    <row r="37" spans="1:66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spans="1:66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1:66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1:66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spans="1:66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 spans="1:66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  <c r="BN42" s="4"/>
    </row>
    <row r="43" spans="1:66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  <c r="BN43" s="4"/>
    </row>
    <row r="44" spans="1:66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spans="1:66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  <c r="BN45" s="4"/>
    </row>
    <row r="46" spans="1:66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  <c r="BN46" s="4"/>
    </row>
    <row r="47" spans="1:66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  <c r="BN47" s="4"/>
    </row>
    <row r="48" spans="1:66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  <c r="BN48" s="4"/>
    </row>
    <row r="49" spans="42:66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  <c r="BN49" s="4"/>
    </row>
    <row r="50" spans="42:66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  <c r="BN50" s="4"/>
    </row>
    <row r="51" spans="42:66" ht="30" customHeight="1">
      <c r="AP51" s="4"/>
      <c r="AQ51" s="5"/>
    </row>
    <row r="52" spans="42:66" ht="30" customHeight="1">
      <c r="AP52" s="4"/>
      <c r="AQ52" s="5"/>
    </row>
    <row r="53" spans="42:66" ht="30" customHeight="1">
      <c r="AP53" s="4"/>
      <c r="AQ53" s="5"/>
    </row>
    <row r="54" spans="42:66" ht="30" customHeight="1">
      <c r="AP54" s="4"/>
      <c r="AQ54" s="5"/>
    </row>
    <row r="55" spans="42:66" ht="30" customHeight="1">
      <c r="AP55" s="4"/>
      <c r="AQ55" s="5"/>
    </row>
    <row r="56" spans="42:66" ht="30" customHeight="1">
      <c r="AP56" s="4"/>
      <c r="AQ56" s="5"/>
    </row>
    <row r="57" spans="42:66" ht="30" customHeight="1">
      <c r="AP57" s="4"/>
      <c r="AQ57" s="5"/>
    </row>
    <row r="58" spans="42:66" ht="30" customHeight="1">
      <c r="AP58" s="4"/>
      <c r="AQ58" s="5"/>
    </row>
    <row r="59" spans="42:66" ht="30" customHeight="1">
      <c r="AP59" s="4"/>
      <c r="AQ59" s="5"/>
    </row>
    <row r="60" spans="42:66" ht="30" customHeight="1">
      <c r="AP60" s="4"/>
      <c r="AQ60" s="5"/>
    </row>
    <row r="61" spans="42:66" ht="30" customHeight="1">
      <c r="AP61" s="4"/>
      <c r="AQ61" s="5"/>
    </row>
    <row r="62" spans="42:66" ht="30" customHeight="1"/>
    <row r="63" spans="42:66" ht="30" customHeight="1"/>
    <row r="64" spans="42:66" ht="30" customHeight="1"/>
    <row r="65" ht="30" customHeight="1"/>
  </sheetData>
  <mergeCells count="1">
    <mergeCell ref="G6:I6"/>
  </mergeCells>
  <conditionalFormatting sqref="J9:R27 S9:W9 Y9 Z9:AO27 S10:Y27 J6:AO8">
    <cfRule type="containsText" dxfId="59" priority="12" operator="containsText" text="WO">
      <formula>NOT(ISERROR(SEARCH("WO",J6)))</formula>
    </cfRule>
  </conditionalFormatting>
  <conditionalFormatting sqref="K8:N27">
    <cfRule type="containsText" dxfId="58" priority="11" operator="containsText" text="P,A,L">
      <formula>NOT(ISERROR(SEARCH("P,A,L",K8)))</formula>
    </cfRule>
  </conditionalFormatting>
  <conditionalFormatting sqref="K8:AO8 S9:W9 Y9 K9:R27 Z9:AO27 S10:Y27">
    <cfRule type="containsText" dxfId="57" priority="3" operator="containsText" text="L">
      <formula>NOT(ISERROR(SEARCH("L",K8)))</formula>
    </cfRule>
    <cfRule type="containsText" dxfId="56" priority="4" operator="containsText" text="A">
      <formula>NOT(ISERROR(SEARCH("A",K8)))</formula>
    </cfRule>
    <cfRule type="containsText" priority="5" operator="containsText" text="P">
      <formula>NOT(ISERROR(SEARCH("P",K8)))</formula>
    </cfRule>
    <cfRule type="containsText" dxfId="55" priority="6" operator="containsText" text="L">
      <formula>NOT(ISERROR(SEARCH("L",K8)))</formula>
    </cfRule>
    <cfRule type="containsText" dxfId="54" priority="7" operator="containsText" text="A">
      <formula>NOT(ISERROR(SEARCH("A",K8)))</formula>
    </cfRule>
    <cfRule type="containsText" dxfId="53" priority="8" operator="containsText" text="L">
      <formula>NOT(ISERROR(SEARCH("L",K8)))</formula>
    </cfRule>
    <cfRule type="containsText" dxfId="52" priority="9" operator="containsText" text="A">
      <formula>NOT(ISERROR(SEARCH("A",K8)))</formula>
    </cfRule>
    <cfRule type="containsText" dxfId="51" priority="10" operator="containsText" text="P">
      <formula>NOT(ISERROR(SEARCH("P",K8)))</formula>
    </cfRule>
  </conditionalFormatting>
  <conditionalFormatting sqref="X9">
    <cfRule type="containsText" dxfId="50" priority="1" operator="containsText" text="A">
      <formula>NOT(ISERROR(SEARCH("A",X9)))</formula>
    </cfRule>
  </conditionalFormatting>
  <dataValidations count="1">
    <dataValidation type="list" allowBlank="1" showInputMessage="1" showErrorMessage="1" sqref="K8:N27 AD8:AI27 P8:U27 W8:AB27 AK8:AO27" xr:uid="{39F671F5-5B08-4500-804D-AF4D356CD9BC}">
      <formula1>"P,A,L"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6EA51D-6276-4E2F-A654-89DFCB8E07F5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048CFA7-B173-4E91-B85F-13B0C092B3FA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JANUARY!AV8:AY8</xm:f>
              <xm:sqref>BE8</xm:sqref>
            </x14:sparkline>
            <x14:sparkline>
              <xm:f>JANUARY!AV9:AY9</xm:f>
              <xm:sqref>BE9</xm:sqref>
            </x14:sparkline>
            <x14:sparkline>
              <xm:f>JANUARY!AV10:AY10</xm:f>
              <xm:sqref>BE10</xm:sqref>
            </x14:sparkline>
            <x14:sparkline>
              <xm:f>JANUARY!AV11:AY11</xm:f>
              <xm:sqref>BE11</xm:sqref>
            </x14:sparkline>
            <x14:sparkline>
              <xm:f>JANUARY!AV12:AY12</xm:f>
              <xm:sqref>BE12</xm:sqref>
            </x14:sparkline>
            <x14:sparkline>
              <xm:f>JANUARY!AV13:AY13</xm:f>
              <xm:sqref>BE13</xm:sqref>
            </x14:sparkline>
            <x14:sparkline>
              <xm:f>JANUARY!AV14:AY14</xm:f>
              <xm:sqref>BE14</xm:sqref>
            </x14:sparkline>
            <x14:sparkline>
              <xm:f>JANUARY!AV15:AY15</xm:f>
              <xm:sqref>BE15</xm:sqref>
            </x14:sparkline>
            <x14:sparkline>
              <xm:f>JANUARY!AV16:AY16</xm:f>
              <xm:sqref>BE16</xm:sqref>
            </x14:sparkline>
            <x14:sparkline>
              <xm:f>JANUARY!AV17:AY17</xm:f>
              <xm:sqref>BE17</xm:sqref>
            </x14:sparkline>
            <x14:sparkline>
              <xm:f>JANUARY!AV18:AY18</xm:f>
              <xm:sqref>BE18</xm:sqref>
            </x14:sparkline>
            <x14:sparkline>
              <xm:f>JANUARY!AV19:AY19</xm:f>
              <xm:sqref>BE19</xm:sqref>
            </x14:sparkline>
            <x14:sparkline>
              <xm:f>JANUARY!AV20:AY20</xm:f>
              <xm:sqref>BE20</xm:sqref>
            </x14:sparkline>
            <x14:sparkline>
              <xm:f>JANUARY!AV21:AY21</xm:f>
              <xm:sqref>BE21</xm:sqref>
            </x14:sparkline>
            <x14:sparkline>
              <xm:f>JANUARY!AV22:AY22</xm:f>
              <xm:sqref>BE22</xm:sqref>
            </x14:sparkline>
            <x14:sparkline>
              <xm:f>JANUARY!AV23:AY23</xm:f>
              <xm:sqref>BE23</xm:sqref>
            </x14:sparkline>
            <x14:sparkline>
              <xm:f>JANUARY!AV24:AY24</xm:f>
              <xm:sqref>BE24</xm:sqref>
            </x14:sparkline>
            <x14:sparkline>
              <xm:f>JANUARY!AV25:AY25</xm:f>
              <xm:sqref>BE25</xm:sqref>
            </x14:sparkline>
            <x14:sparkline>
              <xm:f>JANUARY!AV26:AY26</xm:f>
              <xm:sqref>BE26</xm:sqref>
            </x14:sparkline>
            <x14:sparkline>
              <xm:f>JANUARY!AV27:AY27</xm:f>
              <xm:sqref>BE27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7137-AA8F-457A-A79B-4649EAD297C5}">
  <dimension ref="A1:BN65"/>
  <sheetViews>
    <sheetView topLeftCell="A3" zoomScale="50" zoomScaleNormal="50" workbookViewId="0">
      <selection activeCell="AM7" sqref="AM7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50" width="15.140625" style="3" customWidth="1"/>
    <col min="51" max="51" width="16" style="3" customWidth="1"/>
    <col min="52" max="53" width="16.85546875" style="3" customWidth="1"/>
    <col min="54" max="54" width="24" style="3" customWidth="1"/>
    <col min="55" max="55" width="17.7109375" style="3" customWidth="1"/>
    <col min="56" max="56" width="16.85546875" style="3" customWidth="1"/>
    <col min="57" max="57" width="23.42578125" style="2" customWidth="1"/>
    <col min="58" max="16384" width="9.140625" style="2"/>
  </cols>
  <sheetData>
    <row r="1" spans="4:66" ht="30" customHeight="1">
      <c r="AP1" s="69"/>
      <c r="AQ1" s="70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  <c r="BF1" s="73"/>
      <c r="BG1" s="73"/>
      <c r="BH1" s="74"/>
      <c r="BI1" s="4"/>
      <c r="BJ1" s="4"/>
      <c r="BK1" s="4"/>
      <c r="BL1" s="4"/>
      <c r="BM1" s="4"/>
      <c r="BN1" s="4"/>
    </row>
    <row r="2" spans="4:66" ht="30" customHeight="1" thickBot="1">
      <c r="AP2" s="75"/>
      <c r="AQ2" s="13"/>
      <c r="BF2" s="14"/>
      <c r="BG2" s="14"/>
      <c r="BH2" s="76"/>
      <c r="BI2" s="4"/>
      <c r="BJ2" s="4"/>
      <c r="BK2" s="4"/>
      <c r="BL2" s="4"/>
      <c r="BM2" s="4"/>
      <c r="BN2" s="4"/>
    </row>
    <row r="3" spans="4:66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75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14"/>
      <c r="BH3" s="76"/>
      <c r="BI3" s="4"/>
      <c r="BJ3" s="4"/>
      <c r="BK3" s="4"/>
      <c r="BL3" s="4"/>
      <c r="BM3" s="4"/>
      <c r="BN3" s="4"/>
    </row>
    <row r="4" spans="4:66" ht="30" customHeight="1">
      <c r="D4" s="55"/>
      <c r="E4" s="56"/>
      <c r="F4" s="56"/>
      <c r="G4" s="57" t="s">
        <v>24</v>
      </c>
      <c r="H4" s="58"/>
      <c r="I4" s="59">
        <v>45689</v>
      </c>
      <c r="J4" s="60"/>
      <c r="K4" s="12">
        <f>(DATEDIF(I4,O4,"D"))+1</f>
        <v>28</v>
      </c>
      <c r="L4" s="50" t="str">
        <f>TEXT(I4,"MMMM")</f>
        <v>February</v>
      </c>
      <c r="M4" s="12" t="s">
        <v>28</v>
      </c>
      <c r="N4" s="61"/>
      <c r="O4" s="59">
        <f>EOMONTH(I4,0)</f>
        <v>45716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75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14"/>
      <c r="BH4" s="76"/>
      <c r="BI4" s="4"/>
      <c r="BJ4" s="4"/>
      <c r="BK4" s="4"/>
      <c r="BL4" s="4"/>
      <c r="BM4" s="4"/>
      <c r="BN4" s="4"/>
    </row>
    <row r="5" spans="4:66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75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14"/>
      <c r="BH5" s="76"/>
      <c r="BI5" s="4"/>
      <c r="BJ5" s="4"/>
      <c r="BK5" s="4"/>
      <c r="BL5" s="4"/>
      <c r="BM5" s="4"/>
      <c r="BN5" s="4"/>
    </row>
    <row r="6" spans="4:66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20" t="str">
        <f t="shared" si="0"/>
        <v>Fri</v>
      </c>
      <c r="AP6" s="75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14"/>
      <c r="BH6" s="76"/>
      <c r="BI6" s="4"/>
      <c r="BJ6" s="4"/>
      <c r="BK6" s="4"/>
      <c r="BL6" s="4"/>
      <c r="BM6" s="4"/>
      <c r="BN6" s="4"/>
    </row>
    <row r="7" spans="4:66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64">
        <f t="shared" si="1"/>
        <v>45676</v>
      </c>
      <c r="AD7" s="64">
        <f t="shared" si="1"/>
        <v>45677</v>
      </c>
      <c r="AE7" s="64">
        <f t="shared" si="1"/>
        <v>45678</v>
      </c>
      <c r="AF7" s="64">
        <f t="shared" si="1"/>
        <v>45679</v>
      </c>
      <c r="AG7" s="64">
        <f t="shared" si="1"/>
        <v>45680</v>
      </c>
      <c r="AH7" s="64">
        <f t="shared" si="1"/>
        <v>45681</v>
      </c>
      <c r="AI7" s="64">
        <f t="shared" si="1"/>
        <v>45682</v>
      </c>
      <c r="AJ7" s="64">
        <f t="shared" si="1"/>
        <v>45683</v>
      </c>
      <c r="AK7" s="64">
        <f t="shared" si="1"/>
        <v>45684</v>
      </c>
      <c r="AL7" s="64">
        <f t="shared" si="1"/>
        <v>45685</v>
      </c>
      <c r="AM7" s="64">
        <f t="shared" ref="AM7" si="2">IF(AL7&lt;$O$4,AL7+1,"")</f>
        <v>45686</v>
      </c>
      <c r="AN7" s="64">
        <f t="shared" ref="AN7" si="3">IF(AM7&lt;$O$4,AM7+1,"")</f>
        <v>45687</v>
      </c>
      <c r="AO7" s="64">
        <f t="shared" ref="AO7" si="4">IF(AN7&lt;$O$4,AN7+1,"")</f>
        <v>45688</v>
      </c>
      <c r="AP7" s="77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9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8" t="s">
        <v>41</v>
      </c>
      <c r="BE7" s="138" t="s">
        <v>37</v>
      </c>
      <c r="BF7" s="14"/>
      <c r="BG7" s="14"/>
      <c r="BH7" s="76"/>
      <c r="BI7" s="4"/>
      <c r="BJ7" s="4"/>
      <c r="BK7" s="4"/>
      <c r="BL7" s="4"/>
      <c r="BM7" s="4"/>
      <c r="BN7" s="4"/>
    </row>
    <row r="8" spans="4:66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38</v>
      </c>
      <c r="L8" s="51" t="s">
        <v>38</v>
      </c>
      <c r="M8" s="51" t="s">
        <v>38</v>
      </c>
      <c r="N8" s="51" t="s">
        <v>38</v>
      </c>
      <c r="O8" s="51" t="str">
        <f t="shared" ref="O8:AJ23" si="5">IF(O$6="sun","Wo"," ")</f>
        <v>Wo</v>
      </c>
      <c r="P8" s="51" t="s">
        <v>38</v>
      </c>
      <c r="Q8" s="51" t="s">
        <v>38</v>
      </c>
      <c r="R8" s="51" t="s">
        <v>40</v>
      </c>
      <c r="S8" s="51" t="s">
        <v>38</v>
      </c>
      <c r="T8" s="51" t="s">
        <v>38</v>
      </c>
      <c r="U8" s="51" t="s">
        <v>38</v>
      </c>
      <c r="V8" s="51" t="str">
        <f t="shared" si="5"/>
        <v>Wo</v>
      </c>
      <c r="W8" s="51" t="s">
        <v>39</v>
      </c>
      <c r="X8" s="51" t="s">
        <v>38</v>
      </c>
      <c r="Y8" s="51" t="s">
        <v>38</v>
      </c>
      <c r="Z8" s="51" t="s">
        <v>40</v>
      </c>
      <c r="AA8" s="51" t="s">
        <v>38</v>
      </c>
      <c r="AB8" s="51" t="s">
        <v>38</v>
      </c>
      <c r="AC8" s="51" t="str">
        <f t="shared" si="5"/>
        <v>Wo</v>
      </c>
      <c r="AD8" s="65" t="s">
        <v>38</v>
      </c>
      <c r="AE8" s="65" t="s">
        <v>38</v>
      </c>
      <c r="AF8" s="65" t="s">
        <v>40</v>
      </c>
      <c r="AG8" s="65" t="s">
        <v>38</v>
      </c>
      <c r="AH8" s="65" t="s">
        <v>38</v>
      </c>
      <c r="AI8" s="65" t="s">
        <v>38</v>
      </c>
      <c r="AJ8" s="65" t="str">
        <f t="shared" si="5"/>
        <v>Wo</v>
      </c>
      <c r="AK8" s="65" t="s">
        <v>38</v>
      </c>
      <c r="AL8" s="65" t="s">
        <v>38</v>
      </c>
      <c r="AM8" s="65" t="s">
        <v>38</v>
      </c>
      <c r="AN8" s="65" t="s">
        <v>40</v>
      </c>
      <c r="AO8" s="16" t="s">
        <v>39</v>
      </c>
      <c r="AP8" s="77"/>
      <c r="AQ8" s="13"/>
      <c r="AR8" s="135">
        <v>1</v>
      </c>
      <c r="AS8" s="106">
        <v>1001</v>
      </c>
      <c r="AT8" s="7" t="str">
        <f t="shared" ref="AT8:AT27" si="6">$L$4</f>
        <v>February</v>
      </c>
      <c r="AU8" s="11" t="s">
        <v>1</v>
      </c>
      <c r="AV8" s="109">
        <f t="shared" ref="AV8:AV27" si="7">COUNTIF($K8:$AO8,"*P*")</f>
        <v>21</v>
      </c>
      <c r="AW8" s="100">
        <f t="shared" ref="AW8:AW27" si="8">COUNTIF($K8:$AO8,"*A*")</f>
        <v>2</v>
      </c>
      <c r="AX8" s="109">
        <f t="shared" ref="AX8:AX27" si="9">COUNTIF($K8:$AO8,"*L*")</f>
        <v>4</v>
      </c>
      <c r="AY8" s="101">
        <f>$J$8</f>
        <v>4</v>
      </c>
      <c r="AZ8" s="112">
        <f>$K$4</f>
        <v>28</v>
      </c>
      <c r="BA8" s="112">
        <f>(AZ8-AW8)</f>
        <v>26</v>
      </c>
      <c r="BB8" s="115">
        <v>15000</v>
      </c>
      <c r="BC8" s="118">
        <f>FebReport[[#This Row],[SALARY]]/FebReport[[#This Row],[PAID DAYS]]</f>
        <v>576.92307692307691</v>
      </c>
      <c r="BD8" s="121">
        <f>FebReport[[#This Row],[SALARY]]-FebReport[[#This Row],[ DEDUCTION]]</f>
        <v>14423.076923076924</v>
      </c>
      <c r="BE8" s="136"/>
      <c r="BF8" s="14"/>
      <c r="BG8" s="14"/>
      <c r="BH8" s="76"/>
      <c r="BI8" s="4"/>
      <c r="BJ8" s="4"/>
      <c r="BK8" s="4"/>
      <c r="BL8" s="4"/>
      <c r="BM8" s="4"/>
      <c r="BN8" s="4"/>
    </row>
    <row r="9" spans="4:66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10">COUNTIF($K$6:$AO$6,"sun")</f>
        <v>4</v>
      </c>
      <c r="K9" s="51" t="s">
        <v>38</v>
      </c>
      <c r="L9" s="51" t="s">
        <v>39</v>
      </c>
      <c r="M9" s="51" t="s">
        <v>38</v>
      </c>
      <c r="N9" s="51" t="s">
        <v>38</v>
      </c>
      <c r="O9" s="51" t="str">
        <f t="shared" si="5"/>
        <v>Wo</v>
      </c>
      <c r="P9" s="51" t="s">
        <v>38</v>
      </c>
      <c r="Q9" s="51" t="s">
        <v>38</v>
      </c>
      <c r="R9" s="51" t="s">
        <v>40</v>
      </c>
      <c r="S9" s="51" t="s">
        <v>38</v>
      </c>
      <c r="T9" s="51" t="s">
        <v>38</v>
      </c>
      <c r="U9" s="51" t="s">
        <v>38</v>
      </c>
      <c r="V9" s="51" t="str">
        <f t="shared" si="5"/>
        <v>Wo</v>
      </c>
      <c r="W9" s="51" t="s">
        <v>38</v>
      </c>
      <c r="X9" s="51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51" t="str">
        <f t="shared" si="5"/>
        <v>Wo</v>
      </c>
      <c r="AD9" s="65" t="s">
        <v>38</v>
      </c>
      <c r="AE9" s="65" t="s">
        <v>38</v>
      </c>
      <c r="AF9" s="65" t="s">
        <v>40</v>
      </c>
      <c r="AG9" s="65" t="s">
        <v>38</v>
      </c>
      <c r="AH9" s="65" t="s">
        <v>38</v>
      </c>
      <c r="AI9" s="65" t="s">
        <v>38</v>
      </c>
      <c r="AJ9" s="65" t="str">
        <f t="shared" si="5"/>
        <v>Wo</v>
      </c>
      <c r="AK9" s="65" t="s">
        <v>38</v>
      </c>
      <c r="AL9" s="65" t="s">
        <v>38</v>
      </c>
      <c r="AM9" s="65" t="s">
        <v>38</v>
      </c>
      <c r="AN9" s="65" t="s">
        <v>40</v>
      </c>
      <c r="AO9" s="16" t="s">
        <v>38</v>
      </c>
      <c r="AP9" s="77"/>
      <c r="AQ9" s="13"/>
      <c r="AR9" s="7">
        <v>2</v>
      </c>
      <c r="AS9" s="107">
        <v>1002</v>
      </c>
      <c r="AT9" s="7" t="str">
        <f t="shared" si="6"/>
        <v>February</v>
      </c>
      <c r="AU9" s="11" t="s">
        <v>2</v>
      </c>
      <c r="AV9" s="110">
        <f t="shared" si="7"/>
        <v>22</v>
      </c>
      <c r="AW9" s="102">
        <f t="shared" si="8"/>
        <v>1</v>
      </c>
      <c r="AX9" s="110">
        <f t="shared" si="9"/>
        <v>4</v>
      </c>
      <c r="AY9" s="103">
        <f t="shared" ref="AY9:AY27" si="11">$J$8</f>
        <v>4</v>
      </c>
      <c r="AZ9" s="113">
        <f t="shared" ref="AZ9:AZ27" si="12">$K$4</f>
        <v>28</v>
      </c>
      <c r="BA9" s="113">
        <f t="shared" ref="BA9:BA25" si="13">(AZ9-AW9)</f>
        <v>27</v>
      </c>
      <c r="BB9" s="116">
        <v>16000</v>
      </c>
      <c r="BC9" s="119">
        <f>FebReport[[#This Row],[SALARY]]/FebReport[[#This Row],[PAID DAYS]]</f>
        <v>592.59259259259261</v>
      </c>
      <c r="BD9" s="121">
        <f>FebReport[[#This Row],[SALARY]]-FebReport[[#This Row],[ DEDUCTION]]</f>
        <v>15407.407407407407</v>
      </c>
      <c r="BE9" s="136"/>
      <c r="BF9" s="14"/>
      <c r="BG9" s="14"/>
      <c r="BH9" s="76"/>
      <c r="BI9" s="4"/>
      <c r="BJ9" s="4"/>
      <c r="BK9" s="4"/>
      <c r="BL9" s="4"/>
      <c r="BM9" s="4"/>
      <c r="BN9" s="4"/>
    </row>
    <row r="10" spans="4:66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10"/>
        <v>4</v>
      </c>
      <c r="K10" s="51" t="s">
        <v>38</v>
      </c>
      <c r="L10" s="51" t="s">
        <v>38</v>
      </c>
      <c r="M10" s="51" t="s">
        <v>38</v>
      </c>
      <c r="N10" s="51" t="s">
        <v>39</v>
      </c>
      <c r="O10" s="51" t="str">
        <f t="shared" si="5"/>
        <v>Wo</v>
      </c>
      <c r="P10" s="51" t="s">
        <v>38</v>
      </c>
      <c r="Q10" s="51" t="s">
        <v>38</v>
      </c>
      <c r="R10" s="51" t="s">
        <v>40</v>
      </c>
      <c r="S10" s="51" t="s">
        <v>38</v>
      </c>
      <c r="T10" s="51" t="s">
        <v>38</v>
      </c>
      <c r="U10" s="51" t="s">
        <v>38</v>
      </c>
      <c r="V10" s="51" t="str">
        <f t="shared" si="5"/>
        <v>Wo</v>
      </c>
      <c r="W10" s="51" t="s">
        <v>38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51" t="str">
        <f t="shared" si="5"/>
        <v>Wo</v>
      </c>
      <c r="AD10" s="65" t="s">
        <v>38</v>
      </c>
      <c r="AE10" s="65" t="s">
        <v>38</v>
      </c>
      <c r="AF10" s="65" t="s">
        <v>40</v>
      </c>
      <c r="AG10" s="65" t="s">
        <v>40</v>
      </c>
      <c r="AH10" s="65" t="s">
        <v>38</v>
      </c>
      <c r="AI10" s="65" t="s">
        <v>38</v>
      </c>
      <c r="AJ10" s="65" t="str">
        <f t="shared" si="5"/>
        <v>Wo</v>
      </c>
      <c r="AK10" s="65" t="s">
        <v>38</v>
      </c>
      <c r="AL10" s="65" t="s">
        <v>38</v>
      </c>
      <c r="AM10" s="65" t="s">
        <v>38</v>
      </c>
      <c r="AN10" s="65" t="s">
        <v>40</v>
      </c>
      <c r="AO10" s="16" t="s">
        <v>38</v>
      </c>
      <c r="AP10" s="77"/>
      <c r="AQ10" s="13"/>
      <c r="AR10" s="7">
        <v>3</v>
      </c>
      <c r="AS10" s="107">
        <v>1003</v>
      </c>
      <c r="AT10" s="7" t="str">
        <f t="shared" si="6"/>
        <v>February</v>
      </c>
      <c r="AU10" s="11" t="s">
        <v>3</v>
      </c>
      <c r="AV10" s="110">
        <f t="shared" si="7"/>
        <v>21</v>
      </c>
      <c r="AW10" s="102">
        <f t="shared" si="8"/>
        <v>1</v>
      </c>
      <c r="AX10" s="110">
        <f t="shared" si="9"/>
        <v>5</v>
      </c>
      <c r="AY10" s="103">
        <f t="shared" si="11"/>
        <v>4</v>
      </c>
      <c r="AZ10" s="113">
        <f t="shared" si="12"/>
        <v>28</v>
      </c>
      <c r="BA10" s="113">
        <f t="shared" si="13"/>
        <v>27</v>
      </c>
      <c r="BB10" s="116">
        <v>18000</v>
      </c>
      <c r="BC10" s="119">
        <f>FebReport[[#This Row],[SALARY]]/FebReport[[#This Row],[PAID DAYS]]</f>
        <v>666.66666666666663</v>
      </c>
      <c r="BD10" s="121">
        <f>FebReport[[#This Row],[SALARY]]-FebReport[[#This Row],[ DEDUCTION]]</f>
        <v>17333.333333333332</v>
      </c>
      <c r="BE10" s="136"/>
      <c r="BF10" s="14"/>
      <c r="BG10" s="14"/>
      <c r="BH10" s="76"/>
      <c r="BI10" s="4"/>
      <c r="BJ10" s="4"/>
      <c r="BK10" s="4"/>
      <c r="BL10" s="4"/>
      <c r="BM10" s="4"/>
      <c r="BN10" s="4"/>
    </row>
    <row r="11" spans="4:66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10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5"/>
        <v>Wo</v>
      </c>
      <c r="P11" s="51" t="s">
        <v>38</v>
      </c>
      <c r="Q11" s="51" t="s">
        <v>38</v>
      </c>
      <c r="R11" s="51" t="s">
        <v>40</v>
      </c>
      <c r="S11" s="51" t="s">
        <v>38</v>
      </c>
      <c r="T11" s="51" t="s">
        <v>38</v>
      </c>
      <c r="U11" s="51" t="s">
        <v>38</v>
      </c>
      <c r="V11" s="51" t="str">
        <f t="shared" si="5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38</v>
      </c>
      <c r="AB11" s="51" t="s">
        <v>38</v>
      </c>
      <c r="AC11" s="51" t="str">
        <f t="shared" si="5"/>
        <v>Wo</v>
      </c>
      <c r="AD11" s="65" t="s">
        <v>38</v>
      </c>
      <c r="AE11" s="65" t="s">
        <v>38</v>
      </c>
      <c r="AF11" s="65" t="s">
        <v>40</v>
      </c>
      <c r="AG11" s="65" t="s">
        <v>38</v>
      </c>
      <c r="AH11" s="65" t="s">
        <v>38</v>
      </c>
      <c r="AI11" s="65" t="s">
        <v>38</v>
      </c>
      <c r="AJ11" s="65" t="str">
        <f t="shared" si="5"/>
        <v>Wo</v>
      </c>
      <c r="AK11" s="65" t="s">
        <v>38</v>
      </c>
      <c r="AL11" s="65" t="s">
        <v>38</v>
      </c>
      <c r="AM11" s="65" t="s">
        <v>38</v>
      </c>
      <c r="AN11" s="65" t="s">
        <v>40</v>
      </c>
      <c r="AO11" s="16" t="s">
        <v>38</v>
      </c>
      <c r="AP11" s="77"/>
      <c r="AQ11" s="13"/>
      <c r="AR11" s="7">
        <v>4</v>
      </c>
      <c r="AS11" s="107">
        <v>1004</v>
      </c>
      <c r="AT11" s="7" t="str">
        <f t="shared" si="6"/>
        <v>February</v>
      </c>
      <c r="AU11" s="11" t="s">
        <v>4</v>
      </c>
      <c r="AV11" s="110">
        <f t="shared" si="7"/>
        <v>23</v>
      </c>
      <c r="AW11" s="102">
        <f t="shared" si="8"/>
        <v>0</v>
      </c>
      <c r="AX11" s="110">
        <f t="shared" si="9"/>
        <v>4</v>
      </c>
      <c r="AY11" s="103">
        <f t="shared" si="11"/>
        <v>4</v>
      </c>
      <c r="AZ11" s="113">
        <f t="shared" si="12"/>
        <v>28</v>
      </c>
      <c r="BA11" s="113">
        <f t="shared" si="13"/>
        <v>28</v>
      </c>
      <c r="BB11" s="116">
        <v>21000</v>
      </c>
      <c r="BC11" s="119">
        <f>FebReport[[#This Row],[SALARY]]/FebReport[[#This Row],[PAID DAYS]]</f>
        <v>750</v>
      </c>
      <c r="BD11" s="121">
        <f>FebReport[[#This Row],[SALARY]]-FebReport[[#This Row],[ DEDUCTION]]</f>
        <v>20250</v>
      </c>
      <c r="BE11" s="136"/>
      <c r="BF11" s="14"/>
      <c r="BG11" s="14"/>
      <c r="BH11" s="76"/>
      <c r="BI11" s="4"/>
      <c r="BJ11" s="4"/>
      <c r="BK11" s="4"/>
      <c r="BL11" s="4"/>
      <c r="BM11" s="4"/>
      <c r="BN11" s="4"/>
    </row>
    <row r="12" spans="4:66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10"/>
        <v>4</v>
      </c>
      <c r="K12" s="51" t="s">
        <v>38</v>
      </c>
      <c r="L12" s="51" t="s">
        <v>39</v>
      </c>
      <c r="M12" s="51" t="s">
        <v>38</v>
      </c>
      <c r="N12" s="51" t="s">
        <v>38</v>
      </c>
      <c r="O12" s="51" t="str">
        <f t="shared" si="5"/>
        <v>Wo</v>
      </c>
      <c r="P12" s="51" t="s">
        <v>38</v>
      </c>
      <c r="Q12" s="51" t="s">
        <v>38</v>
      </c>
      <c r="R12" s="51" t="s">
        <v>40</v>
      </c>
      <c r="S12" s="51" t="s">
        <v>38</v>
      </c>
      <c r="T12" s="51" t="s">
        <v>38</v>
      </c>
      <c r="U12" s="51" t="s">
        <v>38</v>
      </c>
      <c r="V12" s="51" t="str">
        <f t="shared" si="5"/>
        <v>Wo</v>
      </c>
      <c r="W12" s="51" t="s">
        <v>38</v>
      </c>
      <c r="X12" s="51" t="s">
        <v>38</v>
      </c>
      <c r="Y12" s="51" t="s">
        <v>38</v>
      </c>
      <c r="Z12" s="51" t="s">
        <v>40</v>
      </c>
      <c r="AA12" s="51" t="s">
        <v>38</v>
      </c>
      <c r="AB12" s="51" t="s">
        <v>38</v>
      </c>
      <c r="AC12" s="51" t="str">
        <f t="shared" si="5"/>
        <v>Wo</v>
      </c>
      <c r="AD12" s="65" t="s">
        <v>38</v>
      </c>
      <c r="AE12" s="65" t="s">
        <v>38</v>
      </c>
      <c r="AF12" s="65" t="s">
        <v>40</v>
      </c>
      <c r="AG12" s="65" t="s">
        <v>38</v>
      </c>
      <c r="AH12" s="65" t="s">
        <v>38</v>
      </c>
      <c r="AI12" s="65" t="s">
        <v>38</v>
      </c>
      <c r="AJ12" s="65" t="str">
        <f t="shared" si="5"/>
        <v>Wo</v>
      </c>
      <c r="AK12" s="65" t="s">
        <v>38</v>
      </c>
      <c r="AL12" s="65" t="s">
        <v>38</v>
      </c>
      <c r="AM12" s="65" t="s">
        <v>38</v>
      </c>
      <c r="AN12" s="65" t="s">
        <v>40</v>
      </c>
      <c r="AO12" s="16" t="s">
        <v>38</v>
      </c>
      <c r="AP12" s="77"/>
      <c r="AQ12" s="13"/>
      <c r="AR12" s="7">
        <v>5</v>
      </c>
      <c r="AS12" s="107">
        <v>1005</v>
      </c>
      <c r="AT12" s="7" t="str">
        <f t="shared" si="6"/>
        <v>February</v>
      </c>
      <c r="AU12" s="11" t="s">
        <v>5</v>
      </c>
      <c r="AV12" s="110">
        <f t="shared" si="7"/>
        <v>22</v>
      </c>
      <c r="AW12" s="102">
        <f t="shared" si="8"/>
        <v>1</v>
      </c>
      <c r="AX12" s="110">
        <f t="shared" si="9"/>
        <v>4</v>
      </c>
      <c r="AY12" s="103">
        <f t="shared" si="11"/>
        <v>4</v>
      </c>
      <c r="AZ12" s="113">
        <f t="shared" si="12"/>
        <v>28</v>
      </c>
      <c r="BA12" s="113">
        <f t="shared" si="13"/>
        <v>27</v>
      </c>
      <c r="BB12" s="116">
        <v>30000</v>
      </c>
      <c r="BC12" s="119">
        <f>FebReport[[#This Row],[SALARY]]/FebReport[[#This Row],[PAID DAYS]]</f>
        <v>1111.1111111111111</v>
      </c>
      <c r="BD12" s="121">
        <f>FebReport[[#This Row],[SALARY]]-FebReport[[#This Row],[ DEDUCTION]]</f>
        <v>28888.888888888891</v>
      </c>
      <c r="BE12" s="136"/>
      <c r="BF12" s="14"/>
      <c r="BG12" s="14"/>
      <c r="BH12" s="76"/>
      <c r="BI12" s="4"/>
      <c r="BJ12" s="4"/>
      <c r="BK12" s="4"/>
      <c r="BL12" s="4"/>
      <c r="BM12" s="4"/>
      <c r="BN12" s="4"/>
    </row>
    <row r="13" spans="4:66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10"/>
        <v>4</v>
      </c>
      <c r="K13" s="51" t="s">
        <v>38</v>
      </c>
      <c r="L13" s="51" t="s">
        <v>38</v>
      </c>
      <c r="M13" s="51" t="s">
        <v>38</v>
      </c>
      <c r="N13" s="51" t="s">
        <v>38</v>
      </c>
      <c r="O13" s="51" t="str">
        <f t="shared" si="5"/>
        <v>Wo</v>
      </c>
      <c r="P13" s="51" t="s">
        <v>38</v>
      </c>
      <c r="Q13" s="51" t="s">
        <v>38</v>
      </c>
      <c r="R13" s="51" t="s">
        <v>40</v>
      </c>
      <c r="S13" s="51" t="s">
        <v>38</v>
      </c>
      <c r="T13" s="51" t="s">
        <v>39</v>
      </c>
      <c r="U13" s="51" t="s">
        <v>38</v>
      </c>
      <c r="V13" s="51" t="str">
        <f t="shared" si="5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38</v>
      </c>
      <c r="AC13" s="51" t="str">
        <f t="shared" si="5"/>
        <v>Wo</v>
      </c>
      <c r="AD13" s="65" t="s">
        <v>38</v>
      </c>
      <c r="AE13" s="65" t="s">
        <v>38</v>
      </c>
      <c r="AF13" s="65" t="s">
        <v>40</v>
      </c>
      <c r="AG13" s="65" t="s">
        <v>38</v>
      </c>
      <c r="AH13" s="65" t="s">
        <v>38</v>
      </c>
      <c r="AI13" s="65" t="s">
        <v>38</v>
      </c>
      <c r="AJ13" s="65" t="str">
        <f t="shared" si="5"/>
        <v>Wo</v>
      </c>
      <c r="AK13" s="65" t="s">
        <v>38</v>
      </c>
      <c r="AL13" s="65" t="s">
        <v>38</v>
      </c>
      <c r="AM13" s="65" t="s">
        <v>38</v>
      </c>
      <c r="AN13" s="65" t="s">
        <v>40</v>
      </c>
      <c r="AO13" s="16" t="s">
        <v>38</v>
      </c>
      <c r="AP13" s="77"/>
      <c r="AQ13" s="13"/>
      <c r="AR13" s="7">
        <v>6</v>
      </c>
      <c r="AS13" s="107">
        <v>1006</v>
      </c>
      <c r="AT13" s="7" t="str">
        <f t="shared" si="6"/>
        <v>February</v>
      </c>
      <c r="AU13" s="11" t="s">
        <v>6</v>
      </c>
      <c r="AV13" s="110">
        <f t="shared" si="7"/>
        <v>22</v>
      </c>
      <c r="AW13" s="102">
        <f t="shared" si="8"/>
        <v>1</v>
      </c>
      <c r="AX13" s="110">
        <f t="shared" si="9"/>
        <v>4</v>
      </c>
      <c r="AY13" s="103">
        <f t="shared" si="11"/>
        <v>4</v>
      </c>
      <c r="AZ13" s="113">
        <f t="shared" si="12"/>
        <v>28</v>
      </c>
      <c r="BA13" s="113">
        <f t="shared" si="13"/>
        <v>27</v>
      </c>
      <c r="BB13" s="116">
        <v>25000</v>
      </c>
      <c r="BC13" s="119">
        <f>FebReport[[#This Row],[SALARY]]/FebReport[[#This Row],[PAID DAYS]]</f>
        <v>925.92592592592598</v>
      </c>
      <c r="BD13" s="121">
        <f>FebReport[[#This Row],[SALARY]]-FebReport[[#This Row],[ DEDUCTION]]</f>
        <v>24074.074074074073</v>
      </c>
      <c r="BE13" s="136"/>
      <c r="BF13" s="14"/>
      <c r="BG13" s="14"/>
      <c r="BH13" s="76"/>
      <c r="BI13" s="4"/>
      <c r="BJ13" s="4"/>
      <c r="BK13" s="4"/>
      <c r="BL13" s="4"/>
      <c r="BM13" s="4"/>
      <c r="BN13" s="4"/>
    </row>
    <row r="14" spans="4:66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10"/>
        <v>4</v>
      </c>
      <c r="K14" s="51" t="s">
        <v>38</v>
      </c>
      <c r="L14" s="51" t="s">
        <v>38</v>
      </c>
      <c r="M14" s="51" t="s">
        <v>38</v>
      </c>
      <c r="N14" s="51" t="s">
        <v>38</v>
      </c>
      <c r="O14" s="51" t="str">
        <f t="shared" si="5"/>
        <v>Wo</v>
      </c>
      <c r="P14" s="51" t="s">
        <v>38</v>
      </c>
      <c r="Q14" s="51" t="s">
        <v>38</v>
      </c>
      <c r="R14" s="51" t="s">
        <v>40</v>
      </c>
      <c r="S14" s="51" t="s">
        <v>38</v>
      </c>
      <c r="T14" s="51" t="s">
        <v>38</v>
      </c>
      <c r="U14" s="51" t="s">
        <v>38</v>
      </c>
      <c r="V14" s="51" t="str">
        <f t="shared" si="5"/>
        <v>Wo</v>
      </c>
      <c r="W14" s="51" t="s">
        <v>40</v>
      </c>
      <c r="X14" s="51" t="s">
        <v>38</v>
      </c>
      <c r="Y14" s="51" t="s">
        <v>38</v>
      </c>
      <c r="Z14" s="51" t="s">
        <v>40</v>
      </c>
      <c r="AA14" s="51" t="s">
        <v>38</v>
      </c>
      <c r="AB14" s="51" t="s">
        <v>38</v>
      </c>
      <c r="AC14" s="51" t="str">
        <f t="shared" si="5"/>
        <v>Wo</v>
      </c>
      <c r="AD14" s="65" t="s">
        <v>39</v>
      </c>
      <c r="AE14" s="65" t="s">
        <v>38</v>
      </c>
      <c r="AF14" s="65" t="s">
        <v>40</v>
      </c>
      <c r="AG14" s="65" t="s">
        <v>40</v>
      </c>
      <c r="AH14" s="65" t="s">
        <v>38</v>
      </c>
      <c r="AI14" s="65" t="s">
        <v>38</v>
      </c>
      <c r="AJ14" s="65" t="str">
        <f t="shared" si="5"/>
        <v>Wo</v>
      </c>
      <c r="AK14" s="65" t="s">
        <v>38</v>
      </c>
      <c r="AL14" s="65" t="s">
        <v>38</v>
      </c>
      <c r="AM14" s="65" t="s">
        <v>38</v>
      </c>
      <c r="AN14" s="65" t="s">
        <v>40</v>
      </c>
      <c r="AO14" s="16" t="s">
        <v>38</v>
      </c>
      <c r="AP14" s="77"/>
      <c r="AQ14" s="13"/>
      <c r="AR14" s="7">
        <v>7</v>
      </c>
      <c r="AS14" s="107">
        <v>1007</v>
      </c>
      <c r="AT14" s="7" t="str">
        <f t="shared" si="6"/>
        <v>February</v>
      </c>
      <c r="AU14" s="11" t="s">
        <v>7</v>
      </c>
      <c r="AV14" s="110">
        <f t="shared" si="7"/>
        <v>20</v>
      </c>
      <c r="AW14" s="102">
        <f t="shared" si="8"/>
        <v>1</v>
      </c>
      <c r="AX14" s="110">
        <f t="shared" si="9"/>
        <v>6</v>
      </c>
      <c r="AY14" s="103">
        <f t="shared" si="11"/>
        <v>4</v>
      </c>
      <c r="AZ14" s="113">
        <f t="shared" si="12"/>
        <v>28</v>
      </c>
      <c r="BA14" s="113">
        <f t="shared" si="13"/>
        <v>27</v>
      </c>
      <c r="BB14" s="116">
        <v>30000</v>
      </c>
      <c r="BC14" s="119">
        <f>FebReport[[#This Row],[SALARY]]/FebReport[[#This Row],[PAID DAYS]]</f>
        <v>1111.1111111111111</v>
      </c>
      <c r="BD14" s="121">
        <f>FebReport[[#This Row],[SALARY]]-FebReport[[#This Row],[ DEDUCTION]]</f>
        <v>28888.888888888891</v>
      </c>
      <c r="BE14" s="136"/>
      <c r="BF14" s="14"/>
      <c r="BG14" s="14"/>
      <c r="BH14" s="76"/>
      <c r="BI14" s="4"/>
      <c r="BJ14" s="4"/>
      <c r="BK14" s="4"/>
      <c r="BL14" s="4"/>
      <c r="BM14" s="4"/>
      <c r="BN14" s="4"/>
    </row>
    <row r="15" spans="4:66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10"/>
        <v>4</v>
      </c>
      <c r="K15" s="51" t="s">
        <v>38</v>
      </c>
      <c r="L15" s="51" t="s">
        <v>38</v>
      </c>
      <c r="M15" s="51" t="s">
        <v>39</v>
      </c>
      <c r="N15" s="51" t="s">
        <v>38</v>
      </c>
      <c r="O15" s="51" t="str">
        <f t="shared" si="5"/>
        <v>Wo</v>
      </c>
      <c r="P15" s="51" t="s">
        <v>38</v>
      </c>
      <c r="Q15" s="51" t="s">
        <v>38</v>
      </c>
      <c r="R15" s="51" t="s">
        <v>40</v>
      </c>
      <c r="S15" s="51" t="s">
        <v>38</v>
      </c>
      <c r="T15" s="51" t="s">
        <v>38</v>
      </c>
      <c r="U15" s="51" t="s">
        <v>38</v>
      </c>
      <c r="V15" s="51" t="str">
        <f t="shared" si="5"/>
        <v>Wo</v>
      </c>
      <c r="W15" s="51" t="s">
        <v>38</v>
      </c>
      <c r="X15" s="51" t="s">
        <v>38</v>
      </c>
      <c r="Y15" s="51" t="s">
        <v>38</v>
      </c>
      <c r="Z15" s="51" t="s">
        <v>40</v>
      </c>
      <c r="AA15" s="51" t="s">
        <v>38</v>
      </c>
      <c r="AB15" s="51" t="s">
        <v>38</v>
      </c>
      <c r="AC15" s="51" t="str">
        <f t="shared" si="5"/>
        <v>Wo</v>
      </c>
      <c r="AD15" s="65" t="s">
        <v>38</v>
      </c>
      <c r="AE15" s="65" t="s">
        <v>38</v>
      </c>
      <c r="AF15" s="65" t="s">
        <v>40</v>
      </c>
      <c r="AG15" s="65" t="s">
        <v>38</v>
      </c>
      <c r="AH15" s="65" t="s">
        <v>38</v>
      </c>
      <c r="AI15" s="65" t="s">
        <v>38</v>
      </c>
      <c r="AJ15" s="65" t="str">
        <f t="shared" si="5"/>
        <v>Wo</v>
      </c>
      <c r="AK15" s="65" t="s">
        <v>38</v>
      </c>
      <c r="AL15" s="65" t="s">
        <v>38</v>
      </c>
      <c r="AM15" s="65" t="s">
        <v>38</v>
      </c>
      <c r="AN15" s="65" t="s">
        <v>40</v>
      </c>
      <c r="AO15" s="16" t="s">
        <v>38</v>
      </c>
      <c r="AP15" s="77"/>
      <c r="AQ15" s="13"/>
      <c r="AR15" s="7">
        <v>8</v>
      </c>
      <c r="AS15" s="107">
        <v>1008</v>
      </c>
      <c r="AT15" s="7" t="str">
        <f t="shared" si="6"/>
        <v>February</v>
      </c>
      <c r="AU15" s="11" t="s">
        <v>8</v>
      </c>
      <c r="AV15" s="110">
        <f t="shared" si="7"/>
        <v>22</v>
      </c>
      <c r="AW15" s="102">
        <f t="shared" si="8"/>
        <v>1</v>
      </c>
      <c r="AX15" s="110">
        <f t="shared" si="9"/>
        <v>4</v>
      </c>
      <c r="AY15" s="103">
        <f t="shared" si="11"/>
        <v>4</v>
      </c>
      <c r="AZ15" s="113">
        <f t="shared" si="12"/>
        <v>28</v>
      </c>
      <c r="BA15" s="113">
        <f t="shared" si="13"/>
        <v>27</v>
      </c>
      <c r="BB15" s="116">
        <v>35000</v>
      </c>
      <c r="BC15" s="119">
        <f>FebReport[[#This Row],[SALARY]]/FebReport[[#This Row],[PAID DAYS]]</f>
        <v>1296.2962962962963</v>
      </c>
      <c r="BD15" s="121">
        <f>FebReport[[#This Row],[SALARY]]-FebReport[[#This Row],[ DEDUCTION]]</f>
        <v>33703.703703703701</v>
      </c>
      <c r="BE15" s="136"/>
      <c r="BF15" s="14"/>
      <c r="BG15" s="14"/>
      <c r="BH15" s="76"/>
      <c r="BI15" s="4"/>
      <c r="BJ15" s="4"/>
      <c r="BK15" s="4"/>
      <c r="BL15" s="4"/>
      <c r="BM15" s="4"/>
      <c r="BN15" s="4"/>
    </row>
    <row r="16" spans="4:66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10"/>
        <v>4</v>
      </c>
      <c r="K16" s="51" t="s">
        <v>38</v>
      </c>
      <c r="L16" s="51" t="s">
        <v>38</v>
      </c>
      <c r="M16" s="51" t="s">
        <v>38</v>
      </c>
      <c r="N16" s="51" t="s">
        <v>38</v>
      </c>
      <c r="O16" s="51" t="str">
        <f t="shared" si="5"/>
        <v>Wo</v>
      </c>
      <c r="P16" s="51" t="s">
        <v>38</v>
      </c>
      <c r="Q16" s="51" t="s">
        <v>38</v>
      </c>
      <c r="R16" s="51" t="s">
        <v>40</v>
      </c>
      <c r="S16" s="51" t="s">
        <v>38</v>
      </c>
      <c r="T16" s="51" t="s">
        <v>38</v>
      </c>
      <c r="U16" s="51" t="s">
        <v>38</v>
      </c>
      <c r="V16" s="51" t="str">
        <f t="shared" si="5"/>
        <v>Wo</v>
      </c>
      <c r="W16" s="51" t="s">
        <v>38</v>
      </c>
      <c r="X16" s="51" t="s">
        <v>38</v>
      </c>
      <c r="Y16" s="51" t="s">
        <v>38</v>
      </c>
      <c r="Z16" s="51" t="s">
        <v>40</v>
      </c>
      <c r="AA16" s="51" t="s">
        <v>38</v>
      </c>
      <c r="AB16" s="51" t="s">
        <v>38</v>
      </c>
      <c r="AC16" s="51" t="str">
        <f t="shared" si="5"/>
        <v>Wo</v>
      </c>
      <c r="AD16" s="65" t="s">
        <v>38</v>
      </c>
      <c r="AE16" s="65" t="s">
        <v>38</v>
      </c>
      <c r="AF16" s="65" t="s">
        <v>40</v>
      </c>
      <c r="AG16" s="65" t="s">
        <v>38</v>
      </c>
      <c r="AH16" s="65" t="s">
        <v>38</v>
      </c>
      <c r="AI16" s="65" t="s">
        <v>38</v>
      </c>
      <c r="AJ16" s="65" t="str">
        <f t="shared" si="5"/>
        <v>Wo</v>
      </c>
      <c r="AK16" s="65" t="s">
        <v>38</v>
      </c>
      <c r="AL16" s="65" t="s">
        <v>39</v>
      </c>
      <c r="AM16" s="65" t="s">
        <v>38</v>
      </c>
      <c r="AN16" s="65" t="s">
        <v>40</v>
      </c>
      <c r="AO16" s="16" t="s">
        <v>38</v>
      </c>
      <c r="AP16" s="77"/>
      <c r="AQ16" s="13"/>
      <c r="AR16" s="7">
        <v>9</v>
      </c>
      <c r="AS16" s="107">
        <v>1009</v>
      </c>
      <c r="AT16" s="7" t="str">
        <f t="shared" si="6"/>
        <v>February</v>
      </c>
      <c r="AU16" s="11" t="s">
        <v>9</v>
      </c>
      <c r="AV16" s="110">
        <f t="shared" si="7"/>
        <v>22</v>
      </c>
      <c r="AW16" s="102">
        <f t="shared" si="8"/>
        <v>1</v>
      </c>
      <c r="AX16" s="110">
        <f t="shared" si="9"/>
        <v>4</v>
      </c>
      <c r="AY16" s="103">
        <f t="shared" si="11"/>
        <v>4</v>
      </c>
      <c r="AZ16" s="113">
        <f t="shared" si="12"/>
        <v>28</v>
      </c>
      <c r="BA16" s="113">
        <f t="shared" si="13"/>
        <v>27</v>
      </c>
      <c r="BB16" s="116">
        <v>18000</v>
      </c>
      <c r="BC16" s="119">
        <f>FebReport[[#This Row],[SALARY]]/FebReport[[#This Row],[PAID DAYS]]</f>
        <v>666.66666666666663</v>
      </c>
      <c r="BD16" s="121">
        <f>FebReport[[#This Row],[SALARY]]-FebReport[[#This Row],[ DEDUCTION]]</f>
        <v>17333.333333333332</v>
      </c>
      <c r="BE16" s="136"/>
      <c r="BF16" s="14"/>
      <c r="BG16" s="14"/>
      <c r="BH16" s="76"/>
      <c r="BI16" s="4"/>
      <c r="BJ16" s="4"/>
      <c r="BK16" s="4"/>
      <c r="BL16" s="4"/>
      <c r="BM16" s="4"/>
      <c r="BN16" s="4"/>
    </row>
    <row r="17" spans="4:66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10"/>
        <v>4</v>
      </c>
      <c r="K17" s="51" t="s">
        <v>38</v>
      </c>
      <c r="L17" s="51" t="s">
        <v>38</v>
      </c>
      <c r="M17" s="51" t="s">
        <v>38</v>
      </c>
      <c r="N17" s="51" t="s">
        <v>38</v>
      </c>
      <c r="O17" s="51" t="str">
        <f t="shared" si="5"/>
        <v>Wo</v>
      </c>
      <c r="P17" s="51" t="s">
        <v>38</v>
      </c>
      <c r="Q17" s="51" t="s">
        <v>38</v>
      </c>
      <c r="R17" s="51" t="s">
        <v>40</v>
      </c>
      <c r="S17" s="51" t="s">
        <v>38</v>
      </c>
      <c r="T17" s="51" t="s">
        <v>38</v>
      </c>
      <c r="U17" s="51" t="s">
        <v>38</v>
      </c>
      <c r="V17" s="51" t="str">
        <f t="shared" si="5"/>
        <v>Wo</v>
      </c>
      <c r="W17" s="51" t="s">
        <v>38</v>
      </c>
      <c r="X17" s="51" t="s">
        <v>38</v>
      </c>
      <c r="Y17" s="51" t="s">
        <v>38</v>
      </c>
      <c r="Z17" s="51" t="s">
        <v>40</v>
      </c>
      <c r="AA17" s="51" t="s">
        <v>38</v>
      </c>
      <c r="AB17" s="51" t="s">
        <v>38</v>
      </c>
      <c r="AC17" s="51" t="str">
        <f t="shared" si="5"/>
        <v>Wo</v>
      </c>
      <c r="AD17" s="65" t="s">
        <v>38</v>
      </c>
      <c r="AE17" s="65" t="s">
        <v>38</v>
      </c>
      <c r="AF17" s="65" t="s">
        <v>40</v>
      </c>
      <c r="AG17" s="65" t="s">
        <v>38</v>
      </c>
      <c r="AH17" s="65" t="s">
        <v>38</v>
      </c>
      <c r="AI17" s="65" t="s">
        <v>38</v>
      </c>
      <c r="AJ17" s="65" t="str">
        <f t="shared" si="5"/>
        <v>Wo</v>
      </c>
      <c r="AK17" s="65" t="s">
        <v>38</v>
      </c>
      <c r="AL17" s="65" t="s">
        <v>38</v>
      </c>
      <c r="AM17" s="65" t="s">
        <v>38</v>
      </c>
      <c r="AN17" s="65" t="s">
        <v>40</v>
      </c>
      <c r="AO17" s="16" t="s">
        <v>38</v>
      </c>
      <c r="AP17" s="77"/>
      <c r="AQ17" s="13"/>
      <c r="AR17" s="7">
        <v>10</v>
      </c>
      <c r="AS17" s="107">
        <v>1010</v>
      </c>
      <c r="AT17" s="7" t="str">
        <f t="shared" si="6"/>
        <v>February</v>
      </c>
      <c r="AU17" s="11" t="s">
        <v>10</v>
      </c>
      <c r="AV17" s="110">
        <f t="shared" si="7"/>
        <v>23</v>
      </c>
      <c r="AW17" s="102">
        <f t="shared" si="8"/>
        <v>0</v>
      </c>
      <c r="AX17" s="110">
        <f t="shared" si="9"/>
        <v>4</v>
      </c>
      <c r="AY17" s="103">
        <f t="shared" si="11"/>
        <v>4</v>
      </c>
      <c r="AZ17" s="113">
        <f t="shared" si="12"/>
        <v>28</v>
      </c>
      <c r="BA17" s="113">
        <f t="shared" si="13"/>
        <v>28</v>
      </c>
      <c r="BB17" s="116">
        <v>45000</v>
      </c>
      <c r="BC17" s="119">
        <f>FebReport[[#This Row],[SALARY]]/FebReport[[#This Row],[PAID DAYS]]</f>
        <v>1607.1428571428571</v>
      </c>
      <c r="BD17" s="121">
        <f>FebReport[[#This Row],[SALARY]]-FebReport[[#This Row],[ DEDUCTION]]</f>
        <v>43392.857142857145</v>
      </c>
      <c r="BE17" s="136"/>
      <c r="BF17" s="14"/>
      <c r="BG17" s="14"/>
      <c r="BH17" s="76"/>
      <c r="BI17" s="4"/>
      <c r="BJ17" s="4"/>
      <c r="BK17" s="4"/>
      <c r="BL17" s="4"/>
      <c r="BM17" s="4"/>
      <c r="BN17" s="4"/>
    </row>
    <row r="18" spans="4:66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10"/>
        <v>4</v>
      </c>
      <c r="K18" s="51" t="s">
        <v>38</v>
      </c>
      <c r="L18" s="51" t="s">
        <v>38</v>
      </c>
      <c r="M18" s="51" t="s">
        <v>38</v>
      </c>
      <c r="N18" s="51" t="s">
        <v>38</v>
      </c>
      <c r="O18" s="51" t="str">
        <f t="shared" si="5"/>
        <v>Wo</v>
      </c>
      <c r="P18" s="51" t="s">
        <v>38</v>
      </c>
      <c r="Q18" s="51" t="s">
        <v>38</v>
      </c>
      <c r="R18" s="51" t="s">
        <v>40</v>
      </c>
      <c r="S18" s="51" t="s">
        <v>38</v>
      </c>
      <c r="T18" s="51" t="s">
        <v>38</v>
      </c>
      <c r="U18" s="51" t="s">
        <v>38</v>
      </c>
      <c r="V18" s="51" t="str">
        <f t="shared" si="5"/>
        <v>Wo</v>
      </c>
      <c r="W18" s="51" t="s">
        <v>38</v>
      </c>
      <c r="X18" s="51" t="s">
        <v>38</v>
      </c>
      <c r="Y18" s="51" t="s">
        <v>38</v>
      </c>
      <c r="Z18" s="51" t="s">
        <v>40</v>
      </c>
      <c r="AA18" s="51" t="s">
        <v>38</v>
      </c>
      <c r="AB18" s="51" t="s">
        <v>38</v>
      </c>
      <c r="AC18" s="51" t="str">
        <f t="shared" si="5"/>
        <v>Wo</v>
      </c>
      <c r="AD18" s="65" t="s">
        <v>38</v>
      </c>
      <c r="AE18" s="65" t="s">
        <v>38</v>
      </c>
      <c r="AF18" s="65" t="s">
        <v>40</v>
      </c>
      <c r="AG18" s="65" t="s">
        <v>40</v>
      </c>
      <c r="AH18" s="65" t="s">
        <v>38</v>
      </c>
      <c r="AI18" s="65" t="s">
        <v>38</v>
      </c>
      <c r="AJ18" s="65" t="str">
        <f t="shared" si="5"/>
        <v>Wo</v>
      </c>
      <c r="AK18" s="65" t="s">
        <v>38</v>
      </c>
      <c r="AL18" s="65" t="s">
        <v>38</v>
      </c>
      <c r="AM18" s="65" t="s">
        <v>38</v>
      </c>
      <c r="AN18" s="65" t="s">
        <v>40</v>
      </c>
      <c r="AO18" s="16" t="s">
        <v>38</v>
      </c>
      <c r="AP18" s="77"/>
      <c r="AQ18" s="13"/>
      <c r="AR18" s="7">
        <v>11</v>
      </c>
      <c r="AS18" s="107">
        <v>1011</v>
      </c>
      <c r="AT18" s="7" t="str">
        <f t="shared" si="6"/>
        <v>February</v>
      </c>
      <c r="AU18" s="11" t="s">
        <v>11</v>
      </c>
      <c r="AV18" s="110">
        <f t="shared" si="7"/>
        <v>22</v>
      </c>
      <c r="AW18" s="102">
        <f t="shared" si="8"/>
        <v>0</v>
      </c>
      <c r="AX18" s="110">
        <f t="shared" si="9"/>
        <v>5</v>
      </c>
      <c r="AY18" s="103">
        <f t="shared" si="11"/>
        <v>4</v>
      </c>
      <c r="AZ18" s="113">
        <f t="shared" si="12"/>
        <v>28</v>
      </c>
      <c r="BA18" s="113">
        <f t="shared" si="13"/>
        <v>28</v>
      </c>
      <c r="BB18" s="116">
        <v>55000</v>
      </c>
      <c r="BC18" s="119">
        <f>FebReport[[#This Row],[SALARY]]/FebReport[[#This Row],[PAID DAYS]]</f>
        <v>1964.2857142857142</v>
      </c>
      <c r="BD18" s="121">
        <f>FebReport[[#This Row],[SALARY]]-FebReport[[#This Row],[ DEDUCTION]]</f>
        <v>53035.714285714283</v>
      </c>
      <c r="BE18" s="136"/>
      <c r="BF18" s="14"/>
      <c r="BG18" s="14"/>
      <c r="BH18" s="76"/>
      <c r="BI18" s="4"/>
      <c r="BJ18" s="4"/>
      <c r="BK18" s="4"/>
      <c r="BL18" s="4"/>
      <c r="BM18" s="4"/>
      <c r="BN18" s="4"/>
    </row>
    <row r="19" spans="4:66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10"/>
        <v>4</v>
      </c>
      <c r="K19" s="51" t="s">
        <v>38</v>
      </c>
      <c r="L19" s="51" t="s">
        <v>38</v>
      </c>
      <c r="M19" s="51" t="s">
        <v>38</v>
      </c>
      <c r="N19" s="51" t="s">
        <v>38</v>
      </c>
      <c r="O19" s="51" t="str">
        <f t="shared" si="5"/>
        <v>Wo</v>
      </c>
      <c r="P19" s="51" t="s">
        <v>38</v>
      </c>
      <c r="Q19" s="51" t="s">
        <v>38</v>
      </c>
      <c r="R19" s="51" t="s">
        <v>40</v>
      </c>
      <c r="S19" s="51" t="s">
        <v>38</v>
      </c>
      <c r="T19" s="51" t="s">
        <v>38</v>
      </c>
      <c r="U19" s="51" t="s">
        <v>38</v>
      </c>
      <c r="V19" s="51" t="str">
        <f t="shared" si="5"/>
        <v>Wo</v>
      </c>
      <c r="W19" s="51" t="s">
        <v>38</v>
      </c>
      <c r="X19" s="51" t="s">
        <v>38</v>
      </c>
      <c r="Y19" s="51" t="s">
        <v>38</v>
      </c>
      <c r="Z19" s="51" t="s">
        <v>40</v>
      </c>
      <c r="AA19" s="51" t="s">
        <v>38</v>
      </c>
      <c r="AB19" s="51" t="s">
        <v>38</v>
      </c>
      <c r="AC19" s="51" t="str">
        <f t="shared" si="5"/>
        <v>Wo</v>
      </c>
      <c r="AD19" s="65" t="s">
        <v>38</v>
      </c>
      <c r="AE19" s="65" t="s">
        <v>38</v>
      </c>
      <c r="AF19" s="65" t="s">
        <v>40</v>
      </c>
      <c r="AG19" s="65" t="s">
        <v>38</v>
      </c>
      <c r="AH19" s="65" t="s">
        <v>38</v>
      </c>
      <c r="AI19" s="65" t="s">
        <v>38</v>
      </c>
      <c r="AJ19" s="65" t="str">
        <f t="shared" si="5"/>
        <v>Wo</v>
      </c>
      <c r="AK19" s="65" t="s">
        <v>38</v>
      </c>
      <c r="AL19" s="65" t="s">
        <v>38</v>
      </c>
      <c r="AM19" s="65" t="s">
        <v>38</v>
      </c>
      <c r="AN19" s="65" t="s">
        <v>40</v>
      </c>
      <c r="AO19" s="16" t="s">
        <v>38</v>
      </c>
      <c r="AP19" s="77"/>
      <c r="AQ19" s="13"/>
      <c r="AR19" s="7">
        <v>12</v>
      </c>
      <c r="AS19" s="107">
        <v>1012</v>
      </c>
      <c r="AT19" s="7" t="str">
        <f t="shared" si="6"/>
        <v>February</v>
      </c>
      <c r="AU19" s="11" t="s">
        <v>12</v>
      </c>
      <c r="AV19" s="110">
        <f t="shared" si="7"/>
        <v>23</v>
      </c>
      <c r="AW19" s="102">
        <f t="shared" si="8"/>
        <v>0</v>
      </c>
      <c r="AX19" s="110">
        <f t="shared" si="9"/>
        <v>4</v>
      </c>
      <c r="AY19" s="103">
        <f t="shared" si="11"/>
        <v>4</v>
      </c>
      <c r="AZ19" s="113">
        <f t="shared" si="12"/>
        <v>28</v>
      </c>
      <c r="BA19" s="113">
        <f t="shared" si="13"/>
        <v>28</v>
      </c>
      <c r="BB19" s="116">
        <v>65000</v>
      </c>
      <c r="BC19" s="119">
        <f>FebReport[[#This Row],[SALARY]]/FebReport[[#This Row],[PAID DAYS]]</f>
        <v>2321.4285714285716</v>
      </c>
      <c r="BD19" s="121">
        <f>FebReport[[#This Row],[SALARY]]-FebReport[[#This Row],[ DEDUCTION]]</f>
        <v>62678.571428571428</v>
      </c>
      <c r="BE19" s="136"/>
      <c r="BF19" s="14"/>
      <c r="BG19" s="14"/>
      <c r="BH19" s="76"/>
      <c r="BI19" s="4"/>
      <c r="BJ19" s="4"/>
      <c r="BK19" s="4"/>
      <c r="BL19" s="4"/>
      <c r="BM19" s="4"/>
      <c r="BN19" s="4"/>
    </row>
    <row r="20" spans="4:66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10"/>
        <v>4</v>
      </c>
      <c r="K20" s="51" t="s">
        <v>38</v>
      </c>
      <c r="L20" s="51" t="s">
        <v>38</v>
      </c>
      <c r="M20" s="51" t="s">
        <v>38</v>
      </c>
      <c r="N20" s="51" t="s">
        <v>38</v>
      </c>
      <c r="O20" s="51" t="str">
        <f t="shared" si="5"/>
        <v>Wo</v>
      </c>
      <c r="P20" s="51" t="s">
        <v>38</v>
      </c>
      <c r="Q20" s="51" t="s">
        <v>38</v>
      </c>
      <c r="R20" s="51" t="s">
        <v>40</v>
      </c>
      <c r="S20" s="51" t="s">
        <v>38</v>
      </c>
      <c r="T20" s="51" t="s">
        <v>38</v>
      </c>
      <c r="U20" s="51" t="s">
        <v>38</v>
      </c>
      <c r="V20" s="51" t="str">
        <f t="shared" si="5"/>
        <v>Wo</v>
      </c>
      <c r="W20" s="51" t="s">
        <v>38</v>
      </c>
      <c r="X20" s="51" t="s">
        <v>38</v>
      </c>
      <c r="Y20" s="51" t="s">
        <v>38</v>
      </c>
      <c r="Z20" s="51" t="s">
        <v>40</v>
      </c>
      <c r="AA20" s="51" t="s">
        <v>38</v>
      </c>
      <c r="AB20" s="51" t="s">
        <v>38</v>
      </c>
      <c r="AC20" s="51" t="str">
        <f t="shared" si="5"/>
        <v>Wo</v>
      </c>
      <c r="AD20" s="65" t="s">
        <v>38</v>
      </c>
      <c r="AE20" s="65" t="s">
        <v>38</v>
      </c>
      <c r="AF20" s="65" t="s">
        <v>40</v>
      </c>
      <c r="AG20" s="65" t="s">
        <v>38</v>
      </c>
      <c r="AH20" s="65" t="s">
        <v>38</v>
      </c>
      <c r="AI20" s="65" t="s">
        <v>38</v>
      </c>
      <c r="AJ20" s="65" t="str">
        <f t="shared" si="5"/>
        <v>Wo</v>
      </c>
      <c r="AK20" s="65" t="s">
        <v>38</v>
      </c>
      <c r="AL20" s="65" t="s">
        <v>38</v>
      </c>
      <c r="AM20" s="65" t="s">
        <v>38</v>
      </c>
      <c r="AN20" s="65" t="s">
        <v>40</v>
      </c>
      <c r="AO20" s="16" t="s">
        <v>38</v>
      </c>
      <c r="AP20" s="77"/>
      <c r="AQ20" s="13"/>
      <c r="AR20" s="7">
        <v>13</v>
      </c>
      <c r="AS20" s="107">
        <v>1013</v>
      </c>
      <c r="AT20" s="7" t="str">
        <f t="shared" si="6"/>
        <v>February</v>
      </c>
      <c r="AU20" s="11" t="s">
        <v>13</v>
      </c>
      <c r="AV20" s="110">
        <f t="shared" si="7"/>
        <v>23</v>
      </c>
      <c r="AW20" s="102">
        <f t="shared" si="8"/>
        <v>0</v>
      </c>
      <c r="AX20" s="110">
        <f t="shared" si="9"/>
        <v>4</v>
      </c>
      <c r="AY20" s="103">
        <f t="shared" si="11"/>
        <v>4</v>
      </c>
      <c r="AZ20" s="113">
        <f t="shared" si="12"/>
        <v>28</v>
      </c>
      <c r="BA20" s="113">
        <f t="shared" si="13"/>
        <v>28</v>
      </c>
      <c r="BB20" s="116">
        <v>68000</v>
      </c>
      <c r="BC20" s="119">
        <f>FebReport[[#This Row],[SALARY]]/FebReport[[#This Row],[PAID DAYS]]</f>
        <v>2428.5714285714284</v>
      </c>
      <c r="BD20" s="121">
        <f>FebReport[[#This Row],[SALARY]]-FebReport[[#This Row],[ DEDUCTION]]</f>
        <v>65571.428571428565</v>
      </c>
      <c r="BE20" s="136"/>
      <c r="BF20" s="14"/>
      <c r="BG20" s="14"/>
      <c r="BH20" s="76"/>
      <c r="BI20" s="4"/>
      <c r="BJ20" s="4"/>
      <c r="BK20" s="4"/>
      <c r="BL20" s="4"/>
      <c r="BM20" s="4"/>
      <c r="BN20" s="4"/>
    </row>
    <row r="21" spans="4:66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10"/>
        <v>4</v>
      </c>
      <c r="K21" s="51" t="s">
        <v>38</v>
      </c>
      <c r="L21" s="51" t="s">
        <v>38</v>
      </c>
      <c r="M21" s="51" t="s">
        <v>38</v>
      </c>
      <c r="N21" s="51" t="s">
        <v>38</v>
      </c>
      <c r="O21" s="51" t="str">
        <f t="shared" si="5"/>
        <v>Wo</v>
      </c>
      <c r="P21" s="51" t="s">
        <v>38</v>
      </c>
      <c r="Q21" s="51" t="s">
        <v>38</v>
      </c>
      <c r="R21" s="51" t="s">
        <v>40</v>
      </c>
      <c r="S21" s="51" t="s">
        <v>38</v>
      </c>
      <c r="T21" s="51" t="s">
        <v>38</v>
      </c>
      <c r="U21" s="51" t="s">
        <v>38</v>
      </c>
      <c r="V21" s="51" t="str">
        <f t="shared" si="5"/>
        <v>Wo</v>
      </c>
      <c r="W21" s="51" t="s">
        <v>38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51" t="str">
        <f t="shared" si="5"/>
        <v>Wo</v>
      </c>
      <c r="AD21" s="65" t="s">
        <v>38</v>
      </c>
      <c r="AE21" s="65" t="s">
        <v>38</v>
      </c>
      <c r="AF21" s="65" t="s">
        <v>40</v>
      </c>
      <c r="AG21" s="65" t="s">
        <v>38</v>
      </c>
      <c r="AH21" s="65" t="s">
        <v>38</v>
      </c>
      <c r="AI21" s="65" t="s">
        <v>38</v>
      </c>
      <c r="AJ21" s="65" t="str">
        <f t="shared" si="5"/>
        <v>Wo</v>
      </c>
      <c r="AK21" s="65" t="s">
        <v>38</v>
      </c>
      <c r="AL21" s="65" t="s">
        <v>38</v>
      </c>
      <c r="AM21" s="65" t="s">
        <v>38</v>
      </c>
      <c r="AN21" s="65" t="s">
        <v>40</v>
      </c>
      <c r="AO21" s="16" t="s">
        <v>38</v>
      </c>
      <c r="AP21" s="77"/>
      <c r="AQ21" s="13"/>
      <c r="AR21" s="7">
        <v>14</v>
      </c>
      <c r="AS21" s="107">
        <v>1014</v>
      </c>
      <c r="AT21" s="7" t="str">
        <f t="shared" si="6"/>
        <v>February</v>
      </c>
      <c r="AU21" s="11" t="s">
        <v>14</v>
      </c>
      <c r="AV21" s="110">
        <f t="shared" si="7"/>
        <v>23</v>
      </c>
      <c r="AW21" s="102">
        <f t="shared" si="8"/>
        <v>0</v>
      </c>
      <c r="AX21" s="110">
        <f t="shared" si="9"/>
        <v>4</v>
      </c>
      <c r="AY21" s="103">
        <f t="shared" si="11"/>
        <v>4</v>
      </c>
      <c r="AZ21" s="113">
        <f t="shared" si="12"/>
        <v>28</v>
      </c>
      <c r="BA21" s="113">
        <f t="shared" si="13"/>
        <v>28</v>
      </c>
      <c r="BB21" s="116">
        <v>72000</v>
      </c>
      <c r="BC21" s="119">
        <f>FebReport[[#This Row],[SALARY]]/FebReport[[#This Row],[PAID DAYS]]</f>
        <v>2571.4285714285716</v>
      </c>
      <c r="BD21" s="121">
        <f>FebReport[[#This Row],[SALARY]]-FebReport[[#This Row],[ DEDUCTION]]</f>
        <v>69428.571428571435</v>
      </c>
      <c r="BE21" s="136"/>
      <c r="BF21" s="14"/>
      <c r="BG21" s="14"/>
      <c r="BH21" s="76"/>
      <c r="BI21" s="4"/>
      <c r="BJ21" s="4"/>
      <c r="BK21" s="4"/>
      <c r="BL21" s="4"/>
      <c r="BM21" s="4"/>
      <c r="BN21" s="4"/>
    </row>
    <row r="22" spans="4:66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10"/>
        <v>4</v>
      </c>
      <c r="K22" s="51" t="s">
        <v>38</v>
      </c>
      <c r="L22" s="51" t="s">
        <v>38</v>
      </c>
      <c r="M22" s="51" t="s">
        <v>38</v>
      </c>
      <c r="N22" s="51" t="s">
        <v>38</v>
      </c>
      <c r="O22" s="51" t="str">
        <f t="shared" si="5"/>
        <v>Wo</v>
      </c>
      <c r="P22" s="51" t="s">
        <v>38</v>
      </c>
      <c r="Q22" s="51" t="s">
        <v>38</v>
      </c>
      <c r="R22" s="51" t="s">
        <v>40</v>
      </c>
      <c r="S22" s="51" t="s">
        <v>38</v>
      </c>
      <c r="T22" s="51" t="s">
        <v>38</v>
      </c>
      <c r="U22" s="51" t="s">
        <v>38</v>
      </c>
      <c r="V22" s="51" t="str">
        <f t="shared" si="5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51" t="str">
        <f t="shared" si="5"/>
        <v>Wo</v>
      </c>
      <c r="AD22" s="65" t="s">
        <v>38</v>
      </c>
      <c r="AE22" s="65" t="s">
        <v>38</v>
      </c>
      <c r="AF22" s="65" t="s">
        <v>40</v>
      </c>
      <c r="AG22" s="65" t="s">
        <v>38</v>
      </c>
      <c r="AH22" s="65" t="s">
        <v>38</v>
      </c>
      <c r="AI22" s="65" t="s">
        <v>38</v>
      </c>
      <c r="AJ22" s="65" t="str">
        <f t="shared" si="5"/>
        <v>Wo</v>
      </c>
      <c r="AK22" s="65" t="s">
        <v>38</v>
      </c>
      <c r="AL22" s="65" t="s">
        <v>38</v>
      </c>
      <c r="AM22" s="65" t="s">
        <v>38</v>
      </c>
      <c r="AN22" s="65" t="s">
        <v>40</v>
      </c>
      <c r="AO22" s="16" t="s">
        <v>38</v>
      </c>
      <c r="AP22" s="77"/>
      <c r="AQ22" s="13"/>
      <c r="AR22" s="7">
        <v>15</v>
      </c>
      <c r="AS22" s="107">
        <v>1015</v>
      </c>
      <c r="AT22" s="7" t="str">
        <f t="shared" si="6"/>
        <v>February</v>
      </c>
      <c r="AU22" s="11" t="s">
        <v>15</v>
      </c>
      <c r="AV22" s="110">
        <f t="shared" si="7"/>
        <v>23</v>
      </c>
      <c r="AW22" s="102">
        <f t="shared" si="8"/>
        <v>0</v>
      </c>
      <c r="AX22" s="110">
        <f t="shared" si="9"/>
        <v>4</v>
      </c>
      <c r="AY22" s="103">
        <f t="shared" si="11"/>
        <v>4</v>
      </c>
      <c r="AZ22" s="113">
        <f t="shared" si="12"/>
        <v>28</v>
      </c>
      <c r="BA22" s="113">
        <f t="shared" si="13"/>
        <v>28</v>
      </c>
      <c r="BB22" s="116">
        <v>20000</v>
      </c>
      <c r="BC22" s="119">
        <f>FebReport[[#This Row],[SALARY]]/FebReport[[#This Row],[PAID DAYS]]</f>
        <v>714.28571428571433</v>
      </c>
      <c r="BD22" s="121">
        <f>FebReport[[#This Row],[SALARY]]-FebReport[[#This Row],[ DEDUCTION]]</f>
        <v>19285.714285714286</v>
      </c>
      <c r="BE22" s="136"/>
      <c r="BF22" s="14"/>
      <c r="BG22" s="14"/>
      <c r="BH22" s="76"/>
      <c r="BI22" s="4"/>
      <c r="BJ22" s="4"/>
      <c r="BK22" s="4"/>
      <c r="BL22" s="4"/>
      <c r="BM22" s="4"/>
      <c r="BN22" s="4"/>
    </row>
    <row r="23" spans="4:66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10"/>
        <v>4</v>
      </c>
      <c r="K23" s="51" t="s">
        <v>38</v>
      </c>
      <c r="L23" s="51" t="s">
        <v>38</v>
      </c>
      <c r="M23" s="51" t="s">
        <v>38</v>
      </c>
      <c r="N23" s="51" t="s">
        <v>38</v>
      </c>
      <c r="O23" s="51" t="str">
        <f t="shared" si="5"/>
        <v>Wo</v>
      </c>
      <c r="P23" s="51" t="s">
        <v>38</v>
      </c>
      <c r="Q23" s="51" t="s">
        <v>38</v>
      </c>
      <c r="R23" s="51" t="s">
        <v>40</v>
      </c>
      <c r="S23" s="51" t="s">
        <v>38</v>
      </c>
      <c r="T23" s="51" t="s">
        <v>38</v>
      </c>
      <c r="U23" s="51" t="s">
        <v>38</v>
      </c>
      <c r="V23" s="51" t="str">
        <f t="shared" si="5"/>
        <v>Wo</v>
      </c>
      <c r="W23" s="51" t="s">
        <v>38</v>
      </c>
      <c r="X23" s="51" t="s">
        <v>38</v>
      </c>
      <c r="Y23" s="51" t="s">
        <v>38</v>
      </c>
      <c r="Z23" s="51" t="s">
        <v>40</v>
      </c>
      <c r="AA23" s="51" t="s">
        <v>38</v>
      </c>
      <c r="AB23" s="51" t="s">
        <v>38</v>
      </c>
      <c r="AC23" s="51" t="str">
        <f t="shared" si="5"/>
        <v>Wo</v>
      </c>
      <c r="AD23" s="65" t="s">
        <v>38</v>
      </c>
      <c r="AE23" s="65" t="s">
        <v>38</v>
      </c>
      <c r="AF23" s="65" t="s">
        <v>40</v>
      </c>
      <c r="AG23" s="65" t="s">
        <v>38</v>
      </c>
      <c r="AH23" s="65" t="s">
        <v>38</v>
      </c>
      <c r="AI23" s="65" t="s">
        <v>38</v>
      </c>
      <c r="AJ23" s="65" t="str">
        <f t="shared" si="5"/>
        <v>Wo</v>
      </c>
      <c r="AK23" s="65" t="s">
        <v>38</v>
      </c>
      <c r="AL23" s="65" t="s">
        <v>38</v>
      </c>
      <c r="AM23" s="65" t="s">
        <v>38</v>
      </c>
      <c r="AN23" s="65" t="s">
        <v>40</v>
      </c>
      <c r="AO23" s="16" t="s">
        <v>38</v>
      </c>
      <c r="AP23" s="77"/>
      <c r="AQ23" s="13"/>
      <c r="AR23" s="7">
        <v>16</v>
      </c>
      <c r="AS23" s="107">
        <v>1016</v>
      </c>
      <c r="AT23" s="7" t="str">
        <f t="shared" si="6"/>
        <v>February</v>
      </c>
      <c r="AU23" s="11" t="s">
        <v>16</v>
      </c>
      <c r="AV23" s="110">
        <f t="shared" si="7"/>
        <v>23</v>
      </c>
      <c r="AW23" s="102">
        <f t="shared" si="8"/>
        <v>0</v>
      </c>
      <c r="AX23" s="110">
        <f t="shared" si="9"/>
        <v>4</v>
      </c>
      <c r="AY23" s="103">
        <f t="shared" si="11"/>
        <v>4</v>
      </c>
      <c r="AZ23" s="113">
        <f t="shared" si="12"/>
        <v>28</v>
      </c>
      <c r="BA23" s="113">
        <f t="shared" si="13"/>
        <v>28</v>
      </c>
      <c r="BB23" s="116">
        <v>56000</v>
      </c>
      <c r="BC23" s="119">
        <f>FebReport[[#This Row],[SALARY]]/FebReport[[#This Row],[PAID DAYS]]</f>
        <v>2000</v>
      </c>
      <c r="BD23" s="121">
        <f>FebReport[[#This Row],[SALARY]]-FebReport[[#This Row],[ DEDUCTION]]</f>
        <v>54000</v>
      </c>
      <c r="BE23" s="136"/>
      <c r="BF23" s="14"/>
      <c r="BG23" s="14"/>
      <c r="BH23" s="76"/>
      <c r="BI23" s="4"/>
      <c r="BJ23" s="4"/>
      <c r="BK23" s="4"/>
      <c r="BL23" s="4"/>
      <c r="BM23" s="4"/>
      <c r="BN23" s="4"/>
    </row>
    <row r="24" spans="4:66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10"/>
        <v>4</v>
      </c>
      <c r="K24" s="51" t="s">
        <v>38</v>
      </c>
      <c r="L24" s="51" t="s">
        <v>38</v>
      </c>
      <c r="M24" s="51" t="s">
        <v>38</v>
      </c>
      <c r="N24" s="51" t="s">
        <v>38</v>
      </c>
      <c r="O24" s="51" t="str">
        <f t="shared" ref="O24:V27" si="14">IF(O$6="sun","Wo"," ")</f>
        <v>Wo</v>
      </c>
      <c r="P24" s="51" t="s">
        <v>38</v>
      </c>
      <c r="Q24" s="51" t="s">
        <v>38</v>
      </c>
      <c r="R24" s="51" t="s">
        <v>40</v>
      </c>
      <c r="S24" s="51" t="s">
        <v>38</v>
      </c>
      <c r="T24" s="51" t="s">
        <v>38</v>
      </c>
      <c r="U24" s="51" t="s">
        <v>38</v>
      </c>
      <c r="V24" s="51" t="str">
        <f t="shared" si="14"/>
        <v>Wo</v>
      </c>
      <c r="W24" s="51" t="s">
        <v>38</v>
      </c>
      <c r="X24" s="51" t="s">
        <v>38</v>
      </c>
      <c r="Y24" s="51" t="s">
        <v>38</v>
      </c>
      <c r="Z24" s="51" t="s">
        <v>40</v>
      </c>
      <c r="AA24" s="51" t="s">
        <v>38</v>
      </c>
      <c r="AB24" s="51" t="s">
        <v>38</v>
      </c>
      <c r="AC24" s="51" t="str">
        <f t="shared" ref="AC24:AJ27" si="15">IF(AC$6="sun","Wo"," ")</f>
        <v>Wo</v>
      </c>
      <c r="AD24" s="65" t="s">
        <v>38</v>
      </c>
      <c r="AE24" s="65" t="s">
        <v>38</v>
      </c>
      <c r="AF24" s="65" t="s">
        <v>40</v>
      </c>
      <c r="AG24" s="65" t="s">
        <v>38</v>
      </c>
      <c r="AH24" s="65" t="s">
        <v>38</v>
      </c>
      <c r="AI24" s="65" t="s">
        <v>38</v>
      </c>
      <c r="AJ24" s="65" t="str">
        <f t="shared" si="15"/>
        <v>Wo</v>
      </c>
      <c r="AK24" s="65" t="s">
        <v>38</v>
      </c>
      <c r="AL24" s="65" t="s">
        <v>38</v>
      </c>
      <c r="AM24" s="65" t="s">
        <v>38</v>
      </c>
      <c r="AN24" s="65" t="s">
        <v>40</v>
      </c>
      <c r="AO24" s="16" t="s">
        <v>38</v>
      </c>
      <c r="AP24" s="77"/>
      <c r="AQ24" s="13"/>
      <c r="AR24" s="7">
        <v>17</v>
      </c>
      <c r="AS24" s="107">
        <v>1017</v>
      </c>
      <c r="AT24" s="7" t="str">
        <f t="shared" si="6"/>
        <v>February</v>
      </c>
      <c r="AU24" s="11" t="s">
        <v>17</v>
      </c>
      <c r="AV24" s="110">
        <f t="shared" si="7"/>
        <v>23</v>
      </c>
      <c r="AW24" s="102">
        <f t="shared" si="8"/>
        <v>0</v>
      </c>
      <c r="AX24" s="110">
        <f t="shared" si="9"/>
        <v>4</v>
      </c>
      <c r="AY24" s="103">
        <f t="shared" si="11"/>
        <v>4</v>
      </c>
      <c r="AZ24" s="113">
        <f t="shared" si="12"/>
        <v>28</v>
      </c>
      <c r="BA24" s="113">
        <f t="shared" si="13"/>
        <v>28</v>
      </c>
      <c r="BB24" s="116">
        <v>35000</v>
      </c>
      <c r="BC24" s="119">
        <f>FebReport[[#This Row],[SALARY]]/FebReport[[#This Row],[PAID DAYS]]</f>
        <v>1250</v>
      </c>
      <c r="BD24" s="121">
        <f>FebReport[[#This Row],[SALARY]]-FebReport[[#This Row],[ DEDUCTION]]</f>
        <v>33750</v>
      </c>
      <c r="BE24" s="136"/>
      <c r="BF24" s="14"/>
      <c r="BG24" s="14"/>
      <c r="BH24" s="76"/>
      <c r="BI24" s="4"/>
      <c r="BJ24" s="4"/>
      <c r="BK24" s="4"/>
      <c r="BL24" s="4"/>
      <c r="BM24" s="4"/>
      <c r="BN24" s="4"/>
    </row>
    <row r="25" spans="4:66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10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14"/>
        <v>Wo</v>
      </c>
      <c r="P25" s="51" t="s">
        <v>38</v>
      </c>
      <c r="Q25" s="51" t="s">
        <v>38</v>
      </c>
      <c r="R25" s="51" t="s">
        <v>40</v>
      </c>
      <c r="S25" s="51" t="s">
        <v>38</v>
      </c>
      <c r="T25" s="51" t="s">
        <v>38</v>
      </c>
      <c r="U25" s="51" t="s">
        <v>38</v>
      </c>
      <c r="V25" s="51" t="str">
        <f t="shared" si="14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38</v>
      </c>
      <c r="AB25" s="51" t="s">
        <v>38</v>
      </c>
      <c r="AC25" s="51" t="str">
        <f t="shared" si="15"/>
        <v>Wo</v>
      </c>
      <c r="AD25" s="65" t="s">
        <v>38</v>
      </c>
      <c r="AE25" s="65" t="s">
        <v>38</v>
      </c>
      <c r="AF25" s="65" t="s">
        <v>40</v>
      </c>
      <c r="AG25" s="65" t="s">
        <v>38</v>
      </c>
      <c r="AH25" s="65" t="s">
        <v>38</v>
      </c>
      <c r="AI25" s="65" t="s">
        <v>38</v>
      </c>
      <c r="AJ25" s="65" t="str">
        <f t="shared" si="15"/>
        <v>Wo</v>
      </c>
      <c r="AK25" s="65" t="s">
        <v>38</v>
      </c>
      <c r="AL25" s="65" t="s">
        <v>38</v>
      </c>
      <c r="AM25" s="65" t="s">
        <v>38</v>
      </c>
      <c r="AN25" s="65" t="s">
        <v>40</v>
      </c>
      <c r="AO25" s="16" t="s">
        <v>38</v>
      </c>
      <c r="AP25" s="77"/>
      <c r="AQ25" s="13"/>
      <c r="AR25" s="7">
        <v>18</v>
      </c>
      <c r="AS25" s="107">
        <v>1018</v>
      </c>
      <c r="AT25" s="7" t="str">
        <f t="shared" si="6"/>
        <v>February</v>
      </c>
      <c r="AU25" s="11" t="s">
        <v>18</v>
      </c>
      <c r="AV25" s="110">
        <f t="shared" si="7"/>
        <v>23</v>
      </c>
      <c r="AW25" s="102">
        <f t="shared" si="8"/>
        <v>0</v>
      </c>
      <c r="AX25" s="110">
        <f t="shared" si="9"/>
        <v>4</v>
      </c>
      <c r="AY25" s="103">
        <f t="shared" si="11"/>
        <v>4</v>
      </c>
      <c r="AZ25" s="113">
        <f t="shared" si="12"/>
        <v>28</v>
      </c>
      <c r="BA25" s="113">
        <f t="shared" si="13"/>
        <v>28</v>
      </c>
      <c r="BB25" s="116">
        <v>12000</v>
      </c>
      <c r="BC25" s="119">
        <f>FebReport[[#This Row],[SALARY]]/FebReport[[#This Row],[PAID DAYS]]</f>
        <v>428.57142857142856</v>
      </c>
      <c r="BD25" s="121">
        <f>FebReport[[#This Row],[SALARY]]-FebReport[[#This Row],[ DEDUCTION]]</f>
        <v>11571.428571428571</v>
      </c>
      <c r="BE25" s="136"/>
      <c r="BF25" s="14"/>
      <c r="BG25" s="14"/>
      <c r="BH25" s="76"/>
      <c r="BI25" s="4"/>
      <c r="BJ25" s="4"/>
      <c r="BK25" s="4"/>
      <c r="BL25" s="4"/>
      <c r="BM25" s="4"/>
      <c r="BN25" s="4"/>
    </row>
    <row r="26" spans="4:66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10"/>
        <v>4</v>
      </c>
      <c r="K26" s="51" t="s">
        <v>38</v>
      </c>
      <c r="L26" s="51" t="s">
        <v>38</v>
      </c>
      <c r="M26" s="51" t="s">
        <v>38</v>
      </c>
      <c r="N26" s="51" t="s">
        <v>38</v>
      </c>
      <c r="O26" s="51" t="str">
        <f t="shared" si="14"/>
        <v>Wo</v>
      </c>
      <c r="P26" s="51" t="s">
        <v>38</v>
      </c>
      <c r="Q26" s="51" t="s">
        <v>38</v>
      </c>
      <c r="R26" s="51" t="s">
        <v>40</v>
      </c>
      <c r="S26" s="51" t="s">
        <v>38</v>
      </c>
      <c r="T26" s="51" t="s">
        <v>38</v>
      </c>
      <c r="U26" s="51" t="s">
        <v>38</v>
      </c>
      <c r="V26" s="51" t="str">
        <f t="shared" si="14"/>
        <v>Wo</v>
      </c>
      <c r="W26" s="51" t="s">
        <v>38</v>
      </c>
      <c r="X26" s="51" t="s">
        <v>38</v>
      </c>
      <c r="Y26" s="51" t="s">
        <v>38</v>
      </c>
      <c r="Z26" s="51" t="s">
        <v>40</v>
      </c>
      <c r="AA26" s="51" t="s">
        <v>38</v>
      </c>
      <c r="AB26" s="51" t="s">
        <v>38</v>
      </c>
      <c r="AC26" s="51" t="str">
        <f t="shared" si="15"/>
        <v>Wo</v>
      </c>
      <c r="AD26" s="65" t="s">
        <v>38</v>
      </c>
      <c r="AE26" s="65" t="s">
        <v>38</v>
      </c>
      <c r="AF26" s="65" t="s">
        <v>40</v>
      </c>
      <c r="AG26" s="65" t="s">
        <v>38</v>
      </c>
      <c r="AH26" s="65" t="s">
        <v>38</v>
      </c>
      <c r="AI26" s="65" t="s">
        <v>38</v>
      </c>
      <c r="AJ26" s="65" t="str">
        <f t="shared" si="15"/>
        <v>Wo</v>
      </c>
      <c r="AK26" s="65" t="s">
        <v>38</v>
      </c>
      <c r="AL26" s="65" t="s">
        <v>38</v>
      </c>
      <c r="AM26" s="65" t="s">
        <v>38</v>
      </c>
      <c r="AN26" s="65" t="s">
        <v>40</v>
      </c>
      <c r="AO26" s="16" t="s">
        <v>38</v>
      </c>
      <c r="AP26" s="77"/>
      <c r="AQ26" s="13"/>
      <c r="AR26" s="7">
        <v>19</v>
      </c>
      <c r="AS26" s="107">
        <v>1019</v>
      </c>
      <c r="AT26" s="7" t="str">
        <f t="shared" si="6"/>
        <v>February</v>
      </c>
      <c r="AU26" s="11" t="s">
        <v>19</v>
      </c>
      <c r="AV26" s="110">
        <f t="shared" si="7"/>
        <v>23</v>
      </c>
      <c r="AW26" s="102">
        <f t="shared" si="8"/>
        <v>0</v>
      </c>
      <c r="AX26" s="110">
        <f t="shared" si="9"/>
        <v>4</v>
      </c>
      <c r="AY26" s="103">
        <f t="shared" si="11"/>
        <v>4</v>
      </c>
      <c r="AZ26" s="113">
        <f t="shared" si="12"/>
        <v>28</v>
      </c>
      <c r="BA26" s="113">
        <f>(AZ26-AW26)</f>
        <v>28</v>
      </c>
      <c r="BB26" s="116">
        <v>19000</v>
      </c>
      <c r="BC26" s="119">
        <f>FebReport[[#This Row],[SALARY]]/FebReport[[#This Row],[PAID DAYS]]</f>
        <v>678.57142857142856</v>
      </c>
      <c r="BD26" s="121">
        <f>FebReport[[#This Row],[SALARY]]-FebReport[[#This Row],[ DEDUCTION]]</f>
        <v>18321.428571428572</v>
      </c>
      <c r="BE26" s="136"/>
      <c r="BF26" s="14"/>
      <c r="BG26" s="14"/>
      <c r="BH26" s="76"/>
      <c r="BI26" s="4"/>
      <c r="BJ26" s="4"/>
      <c r="BK26" s="4"/>
      <c r="BL26" s="4"/>
      <c r="BM26" s="4"/>
      <c r="BN26" s="4"/>
    </row>
    <row r="27" spans="4:66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10"/>
        <v>4</v>
      </c>
      <c r="K27" s="9" t="s">
        <v>38</v>
      </c>
      <c r="L27" s="9" t="s">
        <v>38</v>
      </c>
      <c r="M27" s="9" t="s">
        <v>38</v>
      </c>
      <c r="N27" s="9" t="s">
        <v>38</v>
      </c>
      <c r="O27" s="9" t="str">
        <f t="shared" si="14"/>
        <v>Wo</v>
      </c>
      <c r="P27" s="9" t="s">
        <v>38</v>
      </c>
      <c r="Q27" s="9" t="s">
        <v>38</v>
      </c>
      <c r="R27" s="9" t="s">
        <v>40</v>
      </c>
      <c r="S27" s="9" t="s">
        <v>38</v>
      </c>
      <c r="T27" s="9" t="s">
        <v>38</v>
      </c>
      <c r="U27" s="9" t="s">
        <v>38</v>
      </c>
      <c r="V27" s="9" t="str">
        <f t="shared" si="14"/>
        <v>Wo</v>
      </c>
      <c r="W27" s="9" t="s">
        <v>38</v>
      </c>
      <c r="X27" s="9" t="s">
        <v>38</v>
      </c>
      <c r="Y27" s="9" t="s">
        <v>38</v>
      </c>
      <c r="Z27" s="9" t="s">
        <v>40</v>
      </c>
      <c r="AA27" s="9" t="s">
        <v>38</v>
      </c>
      <c r="AB27" s="9" t="s">
        <v>38</v>
      </c>
      <c r="AC27" s="9" t="str">
        <f t="shared" si="15"/>
        <v>Wo</v>
      </c>
      <c r="AD27" s="17" t="s">
        <v>38</v>
      </c>
      <c r="AE27" s="17" t="s">
        <v>38</v>
      </c>
      <c r="AF27" s="17" t="s">
        <v>40</v>
      </c>
      <c r="AG27" s="17" t="s">
        <v>38</v>
      </c>
      <c r="AH27" s="17" t="s">
        <v>38</v>
      </c>
      <c r="AI27" s="17" t="s">
        <v>38</v>
      </c>
      <c r="AJ27" s="17" t="str">
        <f t="shared" si="15"/>
        <v>Wo</v>
      </c>
      <c r="AK27" s="17" t="s">
        <v>38</v>
      </c>
      <c r="AL27" s="17" t="s">
        <v>38</v>
      </c>
      <c r="AM27" s="17" t="s">
        <v>38</v>
      </c>
      <c r="AN27" s="17" t="s">
        <v>40</v>
      </c>
      <c r="AO27" s="24" t="s">
        <v>38</v>
      </c>
      <c r="AP27" s="77"/>
      <c r="AQ27" s="13"/>
      <c r="AR27" s="10">
        <v>20</v>
      </c>
      <c r="AS27" s="108">
        <v>1020</v>
      </c>
      <c r="AT27" s="10" t="str">
        <f t="shared" si="6"/>
        <v>February</v>
      </c>
      <c r="AU27" s="10" t="s">
        <v>20</v>
      </c>
      <c r="AV27" s="111">
        <f t="shared" si="7"/>
        <v>23</v>
      </c>
      <c r="AW27" s="104">
        <f t="shared" si="8"/>
        <v>0</v>
      </c>
      <c r="AX27" s="111">
        <f t="shared" si="9"/>
        <v>4</v>
      </c>
      <c r="AY27" s="105">
        <f t="shared" si="11"/>
        <v>4</v>
      </c>
      <c r="AZ27" s="114">
        <f t="shared" si="12"/>
        <v>28</v>
      </c>
      <c r="BA27" s="114">
        <f>(AZ27-AW27)</f>
        <v>28</v>
      </c>
      <c r="BB27" s="117">
        <v>21000</v>
      </c>
      <c r="BC27" s="120">
        <f>FebReport[[#This Row],[SALARY]]/FebReport[[#This Row],[PAID DAYS]]</f>
        <v>750</v>
      </c>
      <c r="BD27" s="121">
        <f>FebReport[[#This Row],[SALARY]]-FebReport[[#This Row],[ DEDUCTION]]</f>
        <v>20250</v>
      </c>
      <c r="BE27" s="137"/>
      <c r="BF27" s="14"/>
      <c r="BG27" s="14"/>
      <c r="BH27" s="76"/>
      <c r="BI27" s="4"/>
      <c r="BJ27" s="4"/>
      <c r="BK27" s="4"/>
      <c r="BL27" s="4"/>
      <c r="BM27" s="4"/>
      <c r="BN27" s="4"/>
    </row>
    <row r="28" spans="4:66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75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14"/>
      <c r="BH28" s="76"/>
      <c r="BI28" s="4"/>
      <c r="BJ28" s="4"/>
      <c r="BK28" s="4"/>
      <c r="BL28" s="4"/>
      <c r="BM28" s="4"/>
      <c r="BN28" s="4"/>
    </row>
    <row r="29" spans="4:66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75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14"/>
      <c r="BH29" s="76"/>
      <c r="BI29" s="4"/>
      <c r="BJ29" s="4"/>
      <c r="BK29" s="4"/>
      <c r="BL29" s="4"/>
      <c r="BM29" s="4"/>
      <c r="BN29" s="4"/>
    </row>
    <row r="30" spans="4:66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75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14"/>
      <c r="BH30" s="76"/>
      <c r="BI30" s="4"/>
      <c r="BJ30" s="4"/>
      <c r="BK30" s="4"/>
      <c r="BL30" s="4"/>
      <c r="BM30" s="4"/>
      <c r="BN30" s="4"/>
    </row>
    <row r="31" spans="4:66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75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14"/>
      <c r="BH31" s="76"/>
      <c r="BI31" s="4"/>
      <c r="BJ31" s="4"/>
      <c r="BK31" s="4"/>
      <c r="BL31" s="4"/>
      <c r="BM31" s="4"/>
      <c r="BN31" s="4"/>
    </row>
    <row r="32" spans="4:66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75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14"/>
      <c r="BH32" s="76"/>
      <c r="BI32" s="4"/>
      <c r="BJ32" s="4"/>
      <c r="BK32" s="4"/>
      <c r="BL32" s="4"/>
      <c r="BM32" s="4"/>
      <c r="BN32" s="4"/>
    </row>
    <row r="33" spans="1:66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75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14"/>
      <c r="BH33" s="76"/>
      <c r="BI33" s="4"/>
      <c r="BJ33" s="4"/>
      <c r="BK33" s="4"/>
      <c r="BL33" s="4"/>
      <c r="BM33" s="4"/>
      <c r="BN33" s="4"/>
    </row>
    <row r="34" spans="1:66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75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14"/>
      <c r="BH34" s="76"/>
      <c r="BI34" s="4"/>
      <c r="BJ34" s="4"/>
      <c r="BK34" s="4"/>
      <c r="BL34" s="4"/>
      <c r="BM34" s="4"/>
      <c r="BN34" s="4"/>
    </row>
    <row r="35" spans="1:66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75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14"/>
      <c r="BH35" s="76"/>
      <c r="BI35" s="4"/>
      <c r="BJ35" s="4"/>
      <c r="BK35" s="4"/>
      <c r="BL35" s="4"/>
      <c r="BM35" s="4"/>
      <c r="BN35" s="4"/>
    </row>
    <row r="36" spans="1:66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0"/>
      <c r="BF36" s="80"/>
      <c r="BG36" s="80"/>
      <c r="BH36" s="81"/>
      <c r="BI36" s="4"/>
      <c r="BJ36" s="4"/>
      <c r="BK36" s="4"/>
      <c r="BL36" s="4"/>
      <c r="BM36" s="4"/>
      <c r="BN36" s="4"/>
    </row>
    <row r="37" spans="1:66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spans="1:66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1:66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1:66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spans="1:66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 spans="1:66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  <c r="BN42" s="4"/>
    </row>
    <row r="43" spans="1:66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  <c r="BN43" s="4"/>
    </row>
    <row r="44" spans="1:66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spans="1:66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  <c r="BN45" s="4"/>
    </row>
    <row r="46" spans="1:66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  <c r="BN46" s="4"/>
    </row>
    <row r="47" spans="1:66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  <c r="BN47" s="4"/>
    </row>
    <row r="48" spans="1:66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  <c r="BN48" s="4"/>
    </row>
    <row r="49" spans="42:66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  <c r="BN49" s="4"/>
    </row>
    <row r="50" spans="42:66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  <c r="BN50" s="4"/>
    </row>
    <row r="51" spans="42:66" ht="30" customHeight="1">
      <c r="AP51" s="4"/>
      <c r="AQ51" s="5"/>
    </row>
    <row r="52" spans="42:66" ht="30" customHeight="1">
      <c r="AP52" s="4"/>
      <c r="AQ52" s="5"/>
    </row>
    <row r="53" spans="42:66" ht="30" customHeight="1">
      <c r="AP53" s="4"/>
      <c r="AQ53" s="5"/>
    </row>
    <row r="54" spans="42:66" ht="30" customHeight="1">
      <c r="AP54" s="4"/>
      <c r="AQ54" s="5"/>
    </row>
    <row r="55" spans="42:66" ht="30" customHeight="1">
      <c r="AP55" s="4"/>
      <c r="AQ55" s="5"/>
    </row>
    <row r="56" spans="42:66" ht="30" customHeight="1">
      <c r="AP56" s="4"/>
      <c r="AQ56" s="5"/>
    </row>
    <row r="57" spans="42:66" ht="30" customHeight="1">
      <c r="AP57" s="4"/>
      <c r="AQ57" s="5"/>
    </row>
    <row r="58" spans="42:66" ht="30" customHeight="1">
      <c r="AP58" s="4"/>
      <c r="AQ58" s="5"/>
    </row>
    <row r="59" spans="42:66" ht="30" customHeight="1">
      <c r="AP59" s="4"/>
      <c r="AQ59" s="5"/>
    </row>
    <row r="60" spans="42:66" ht="30" customHeight="1">
      <c r="AP60" s="4"/>
      <c r="AQ60" s="5"/>
    </row>
    <row r="61" spans="42:66" ht="30" customHeight="1">
      <c r="AP61" s="4"/>
      <c r="AQ61" s="5"/>
    </row>
    <row r="62" spans="42:66" ht="30" customHeight="1"/>
    <row r="63" spans="42:66" ht="30" customHeight="1"/>
    <row r="64" spans="42:66" ht="30" customHeight="1"/>
    <row r="65" ht="30" customHeight="1"/>
  </sheetData>
  <mergeCells count="1">
    <mergeCell ref="G6:I6"/>
  </mergeCells>
  <conditionalFormatting sqref="J6:AO27">
    <cfRule type="containsText" dxfId="49" priority="4" operator="containsText" text="WO">
      <formula>NOT(ISERROR(SEARCH("WO",J6)))</formula>
    </cfRule>
  </conditionalFormatting>
  <conditionalFormatting sqref="K8:AO27">
    <cfRule type="containsText" dxfId="48" priority="1" operator="containsText" text="L">
      <formula>NOT(ISERROR(SEARCH("L",K8)))</formula>
    </cfRule>
    <cfRule type="containsText" dxfId="47" priority="2" operator="containsText" text="A">
      <formula>NOT(ISERROR(SEARCH("A",K8)))</formula>
    </cfRule>
    <cfRule type="containsText" dxfId="46" priority="3" operator="containsText" text="P">
      <formula>NOT(ISERROR(SEARCH("P",K8)))</formula>
    </cfRule>
  </conditionalFormatting>
  <dataValidations count="1">
    <dataValidation type="list" allowBlank="1" showInputMessage="1" showErrorMessage="1" sqref="K8:N27 AD8:AI27 P8:U27 W8:AB27 AK8:AO27" xr:uid="{2188D137-30EF-49E2-9A57-908DA2108C6C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789296-1BB5-484D-B3BB-4C9671FDCD3B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EBA3FB3-8347-4011-B094-02D90B57C94F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FEBRUARY!AV8:AY8</xm:f>
              <xm:sqref>BE8</xm:sqref>
            </x14:sparkline>
            <x14:sparkline>
              <xm:f>FEBRUARY!AV9:AY9</xm:f>
              <xm:sqref>BE9</xm:sqref>
            </x14:sparkline>
            <x14:sparkline>
              <xm:f>FEBRUARY!AV10:AY10</xm:f>
              <xm:sqref>BE10</xm:sqref>
            </x14:sparkline>
            <x14:sparkline>
              <xm:f>FEBRUARY!AV11:AY11</xm:f>
              <xm:sqref>BE11</xm:sqref>
            </x14:sparkline>
            <x14:sparkline>
              <xm:f>FEBRUARY!AV12:AY12</xm:f>
              <xm:sqref>BE12</xm:sqref>
            </x14:sparkline>
            <x14:sparkline>
              <xm:f>FEBRUARY!AV13:AY13</xm:f>
              <xm:sqref>BE13</xm:sqref>
            </x14:sparkline>
            <x14:sparkline>
              <xm:f>FEBRUARY!AV14:AY14</xm:f>
              <xm:sqref>BE14</xm:sqref>
            </x14:sparkline>
            <x14:sparkline>
              <xm:f>FEBRUARY!AV15:AY15</xm:f>
              <xm:sqref>BE15</xm:sqref>
            </x14:sparkline>
            <x14:sparkline>
              <xm:f>FEBRUARY!AV16:AY16</xm:f>
              <xm:sqref>BE16</xm:sqref>
            </x14:sparkline>
            <x14:sparkline>
              <xm:f>FEBRUARY!AV17:AY17</xm:f>
              <xm:sqref>BE17</xm:sqref>
            </x14:sparkline>
            <x14:sparkline>
              <xm:f>FEBRUARY!AV18:AY18</xm:f>
              <xm:sqref>BE18</xm:sqref>
            </x14:sparkline>
            <x14:sparkline>
              <xm:f>FEBRUARY!AV19:AY19</xm:f>
              <xm:sqref>BE19</xm:sqref>
            </x14:sparkline>
            <x14:sparkline>
              <xm:f>FEBRUARY!AV20:AY20</xm:f>
              <xm:sqref>BE20</xm:sqref>
            </x14:sparkline>
            <x14:sparkline>
              <xm:f>FEBRUARY!AV21:AY21</xm:f>
              <xm:sqref>BE21</xm:sqref>
            </x14:sparkline>
            <x14:sparkline>
              <xm:f>FEBRUARY!AV22:AY22</xm:f>
              <xm:sqref>BE22</xm:sqref>
            </x14:sparkline>
            <x14:sparkline>
              <xm:f>FEBRUARY!AV23:AY23</xm:f>
              <xm:sqref>BE23</xm:sqref>
            </x14:sparkline>
            <x14:sparkline>
              <xm:f>FEBRUARY!AV24:AY24</xm:f>
              <xm:sqref>BE24</xm:sqref>
            </x14:sparkline>
            <x14:sparkline>
              <xm:f>FEBRUARY!AV25:AY25</xm:f>
              <xm:sqref>BE25</xm:sqref>
            </x14:sparkline>
            <x14:sparkline>
              <xm:f>FEBRUARY!AV26:AY26</xm:f>
              <xm:sqref>BE26</xm:sqref>
            </x14:sparkline>
            <x14:sparkline>
              <xm:f>FEBRUARY!AV27:AY27</xm:f>
              <xm:sqref>BE27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177E-799A-4AE2-863B-B84F072EF6BD}">
  <dimension ref="A1:BN65"/>
  <sheetViews>
    <sheetView zoomScale="50" zoomScaleNormal="50" workbookViewId="0"/>
  </sheetViews>
  <sheetFormatPr defaultRowHeight="14.25"/>
  <cols>
    <col min="1" max="6" width="9.140625" style="26"/>
    <col min="7" max="7" width="14.140625" style="26" customWidth="1"/>
    <col min="8" max="8" width="15.28515625" style="26" customWidth="1"/>
    <col min="9" max="9" width="25.5703125" style="26" customWidth="1"/>
    <col min="10" max="14" width="12" style="26" customWidth="1"/>
    <col min="15" max="15" width="21.42578125" style="26" customWidth="1"/>
    <col min="16" max="21" width="12" style="26" customWidth="1"/>
    <col min="22" max="22" width="20.7109375" style="26" customWidth="1"/>
    <col min="23" max="25" width="12" style="26" customWidth="1"/>
    <col min="26" max="28" width="9.140625" style="26"/>
    <col min="29" max="29" width="20.7109375" style="26" customWidth="1"/>
    <col min="30" max="35" width="12.28515625" style="26" customWidth="1"/>
    <col min="36" max="36" width="20.7109375" style="26" customWidth="1"/>
    <col min="37" max="41" width="12.28515625" style="26" customWidth="1"/>
    <col min="42" max="42" width="9.140625" style="26"/>
    <col min="43" max="43" width="9.140625" style="29"/>
    <col min="44" max="44" width="14" style="29" customWidth="1"/>
    <col min="45" max="46" width="22" style="29" customWidth="1"/>
    <col min="47" max="47" width="39.7109375" style="29" customWidth="1"/>
    <col min="48" max="50" width="15.140625" style="29" customWidth="1"/>
    <col min="51" max="51" width="16" style="29" customWidth="1"/>
    <col min="52" max="53" width="16.85546875" style="29" customWidth="1"/>
    <col min="54" max="54" width="24" style="29" customWidth="1"/>
    <col min="55" max="55" width="17.7109375" style="29" customWidth="1"/>
    <col min="56" max="56" width="18.5703125" style="29" customWidth="1"/>
    <col min="57" max="57" width="23.42578125" style="26" customWidth="1"/>
    <col min="58" max="16384" width="9.140625" style="26"/>
  </cols>
  <sheetData>
    <row r="1" spans="4:66" ht="30" customHeight="1">
      <c r="AP1" s="87"/>
      <c r="AQ1" s="88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  <c r="BF1" s="91"/>
      <c r="BG1" s="91"/>
      <c r="BH1" s="92"/>
      <c r="BI1" s="30"/>
      <c r="BJ1" s="30"/>
      <c r="BK1" s="30"/>
      <c r="BL1" s="30"/>
      <c r="BM1" s="30"/>
      <c r="BN1" s="30"/>
    </row>
    <row r="2" spans="4:66" ht="30" customHeight="1" thickBot="1">
      <c r="AP2" s="93"/>
      <c r="AQ2" s="28"/>
      <c r="BF2" s="27"/>
      <c r="BG2" s="27"/>
      <c r="BH2" s="94"/>
      <c r="BI2" s="30"/>
      <c r="BJ2" s="30"/>
      <c r="BK2" s="30"/>
      <c r="BL2" s="30"/>
      <c r="BM2" s="30"/>
      <c r="BN2" s="30"/>
    </row>
    <row r="3" spans="4:66" ht="30" customHeight="1">
      <c r="D3" s="82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93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7"/>
      <c r="BF3" s="27"/>
      <c r="BG3" s="27"/>
      <c r="BH3" s="94"/>
      <c r="BI3" s="30"/>
      <c r="BJ3" s="30"/>
      <c r="BK3" s="30"/>
      <c r="BL3" s="30"/>
      <c r="BM3" s="30"/>
      <c r="BN3" s="30"/>
    </row>
    <row r="4" spans="4:66" ht="30" customHeight="1">
      <c r="D4" s="84"/>
      <c r="E4" s="25"/>
      <c r="F4" s="25"/>
      <c r="G4" s="12" t="s">
        <v>24</v>
      </c>
      <c r="H4" s="31"/>
      <c r="I4" s="32">
        <v>45717</v>
      </c>
      <c r="J4" s="33"/>
      <c r="K4" s="12">
        <f>(DATEDIF(I4,O4,"D"))+1</f>
        <v>31</v>
      </c>
      <c r="L4" s="50" t="str">
        <f>TEXT(I4,"MMMM")</f>
        <v>March</v>
      </c>
      <c r="M4" s="12" t="s">
        <v>28</v>
      </c>
      <c r="N4" s="34"/>
      <c r="O4" s="32">
        <f>EOMONTH(I4,0)</f>
        <v>45747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93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7"/>
      <c r="BF4" s="27"/>
      <c r="BG4" s="27"/>
      <c r="BH4" s="94"/>
      <c r="BI4" s="30"/>
      <c r="BJ4" s="30"/>
      <c r="BK4" s="30"/>
      <c r="BL4" s="30"/>
      <c r="BM4" s="30"/>
      <c r="BN4" s="30"/>
    </row>
    <row r="5" spans="4:66" ht="30" customHeight="1" thickBot="1">
      <c r="D5" s="8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93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7"/>
      <c r="BF5" s="27"/>
      <c r="BG5" s="27"/>
      <c r="BH5" s="94"/>
      <c r="BI5" s="30"/>
      <c r="BJ5" s="30"/>
      <c r="BK5" s="30"/>
      <c r="BL5" s="30"/>
      <c r="BM5" s="30"/>
      <c r="BN5" s="30"/>
    </row>
    <row r="6" spans="4:66" ht="48" customHeight="1">
      <c r="D6" s="84"/>
      <c r="E6" s="25"/>
      <c r="F6" s="25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36" t="str">
        <f t="shared" si="0"/>
        <v>Sun</v>
      </c>
      <c r="AD6" s="36" t="str">
        <f t="shared" si="0"/>
        <v>Mon</v>
      </c>
      <c r="AE6" s="36" t="str">
        <f t="shared" si="0"/>
        <v>Tue</v>
      </c>
      <c r="AF6" s="36" t="str">
        <f t="shared" si="0"/>
        <v>Wed</v>
      </c>
      <c r="AG6" s="36" t="str">
        <f t="shared" si="0"/>
        <v>Thu</v>
      </c>
      <c r="AH6" s="36" t="str">
        <f t="shared" si="0"/>
        <v>Fri</v>
      </c>
      <c r="AI6" s="36" t="str">
        <f t="shared" si="0"/>
        <v>Sat</v>
      </c>
      <c r="AJ6" s="36" t="str">
        <f t="shared" si="0"/>
        <v>Sun</v>
      </c>
      <c r="AK6" s="36" t="str">
        <f t="shared" si="0"/>
        <v>Mon</v>
      </c>
      <c r="AL6" s="36" t="str">
        <f t="shared" si="0"/>
        <v>Tue</v>
      </c>
      <c r="AM6" s="36" t="str">
        <f t="shared" si="0"/>
        <v>Wed</v>
      </c>
      <c r="AN6" s="36" t="str">
        <f t="shared" si="0"/>
        <v>Thu</v>
      </c>
      <c r="AO6" s="37" t="str">
        <f t="shared" si="0"/>
        <v>Fri</v>
      </c>
      <c r="AP6" s="93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7"/>
      <c r="BF6" s="27"/>
      <c r="BG6" s="27"/>
      <c r="BH6" s="94"/>
      <c r="BI6" s="30"/>
      <c r="BJ6" s="30"/>
      <c r="BK6" s="30"/>
      <c r="BL6" s="30"/>
      <c r="BM6" s="30"/>
      <c r="BN6" s="30"/>
    </row>
    <row r="7" spans="4:66" ht="48" customHeight="1" thickBot="1">
      <c r="D7" s="84"/>
      <c r="E7" s="25"/>
      <c r="F7" s="25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144">
        <f t="shared" si="1"/>
        <v>45676</v>
      </c>
      <c r="AD7" s="144">
        <f t="shared" si="1"/>
        <v>45677</v>
      </c>
      <c r="AE7" s="144">
        <f t="shared" si="1"/>
        <v>45678</v>
      </c>
      <c r="AF7" s="144">
        <f t="shared" si="1"/>
        <v>45679</v>
      </c>
      <c r="AG7" s="144">
        <f t="shared" si="1"/>
        <v>45680</v>
      </c>
      <c r="AH7" s="144">
        <f t="shared" si="1"/>
        <v>45681</v>
      </c>
      <c r="AI7" s="144">
        <f t="shared" si="1"/>
        <v>45682</v>
      </c>
      <c r="AJ7" s="144">
        <f t="shared" si="1"/>
        <v>45683</v>
      </c>
      <c r="AK7" s="144">
        <f t="shared" si="1"/>
        <v>45684</v>
      </c>
      <c r="AL7" s="144">
        <f t="shared" si="1"/>
        <v>45685</v>
      </c>
      <c r="AM7" s="144">
        <f t="shared" si="1"/>
        <v>45686</v>
      </c>
      <c r="AN7" s="144">
        <f t="shared" si="1"/>
        <v>45687</v>
      </c>
      <c r="AO7" s="40">
        <f t="shared" si="1"/>
        <v>45688</v>
      </c>
      <c r="AP7" s="95"/>
      <c r="AQ7" s="28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8" t="s">
        <v>41</v>
      </c>
      <c r="BE7" s="138" t="s">
        <v>37</v>
      </c>
      <c r="BF7" s="27"/>
      <c r="BG7" s="27"/>
      <c r="BH7" s="94"/>
      <c r="BI7" s="30"/>
      <c r="BJ7" s="30"/>
      <c r="BK7" s="30"/>
      <c r="BL7" s="30"/>
      <c r="BM7" s="30"/>
      <c r="BN7" s="30"/>
    </row>
    <row r="8" spans="4:66" ht="30" customHeight="1">
      <c r="D8" s="84"/>
      <c r="E8" s="25"/>
      <c r="F8" s="25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38</v>
      </c>
      <c r="L8" s="51" t="s">
        <v>38</v>
      </c>
      <c r="M8" s="51" t="s">
        <v>38</v>
      </c>
      <c r="N8" s="51" t="s">
        <v>38</v>
      </c>
      <c r="O8" s="51" t="str">
        <f t="shared" ref="O8:AJ23" si="2">IF(O$6="sun","Wo"," ")</f>
        <v>Wo</v>
      </c>
      <c r="P8" s="51" t="s">
        <v>38</v>
      </c>
      <c r="Q8" s="51" t="s">
        <v>38</v>
      </c>
      <c r="R8" s="51" t="s">
        <v>40</v>
      </c>
      <c r="S8" s="51" t="s">
        <v>38</v>
      </c>
      <c r="T8" s="51" t="s">
        <v>38</v>
      </c>
      <c r="U8" s="51" t="s">
        <v>38</v>
      </c>
      <c r="V8" s="51" t="str">
        <f t="shared" si="2"/>
        <v>Wo</v>
      </c>
      <c r="W8" s="51" t="s">
        <v>38</v>
      </c>
      <c r="X8" s="51" t="s">
        <v>38</v>
      </c>
      <c r="Y8" s="51" t="s">
        <v>38</v>
      </c>
      <c r="Z8" s="51" t="s">
        <v>40</v>
      </c>
      <c r="AA8" s="51" t="s">
        <v>38</v>
      </c>
      <c r="AB8" s="51" t="s">
        <v>38</v>
      </c>
      <c r="AC8" s="145" t="str">
        <f t="shared" si="2"/>
        <v>Wo</v>
      </c>
      <c r="AD8" s="146" t="s">
        <v>38</v>
      </c>
      <c r="AE8" s="146" t="s">
        <v>38</v>
      </c>
      <c r="AF8" s="146" t="s">
        <v>40</v>
      </c>
      <c r="AG8" s="146" t="s">
        <v>38</v>
      </c>
      <c r="AH8" s="146" t="s">
        <v>38</v>
      </c>
      <c r="AI8" s="146" t="s">
        <v>38</v>
      </c>
      <c r="AJ8" s="146" t="str">
        <f t="shared" si="2"/>
        <v>Wo</v>
      </c>
      <c r="AK8" s="146" t="s">
        <v>38</v>
      </c>
      <c r="AL8" s="146" t="s">
        <v>38</v>
      </c>
      <c r="AM8" s="146" t="s">
        <v>38</v>
      </c>
      <c r="AN8" s="146" t="s">
        <v>40</v>
      </c>
      <c r="AO8" s="43" t="s">
        <v>38</v>
      </c>
      <c r="AP8" s="95"/>
      <c r="AQ8" s="28"/>
      <c r="AR8" s="135">
        <v>1</v>
      </c>
      <c r="AS8" s="106">
        <v>1001</v>
      </c>
      <c r="AT8" s="7" t="str">
        <f t="shared" ref="AT8:AT27" si="3">$L$4</f>
        <v>March</v>
      </c>
      <c r="AU8" s="11" t="s">
        <v>1</v>
      </c>
      <c r="AV8" s="109">
        <f>COUNTIF($K8:$AO8,"P")</f>
        <v>23</v>
      </c>
      <c r="AW8" s="109">
        <f t="shared" ref="AW8:AW27" si="4">COUNTIF($K8:$AO8,"*A*")</f>
        <v>0</v>
      </c>
      <c r="AX8" s="109">
        <f t="shared" ref="AX8:AX27" si="5">COUNTIF($K8:$AO8,"*L*")</f>
        <v>4</v>
      </c>
      <c r="AY8" s="109">
        <f>$J$8</f>
        <v>4</v>
      </c>
      <c r="AZ8" s="112">
        <f>$K$4</f>
        <v>31</v>
      </c>
      <c r="BA8" s="112">
        <f>(AZ8-AW8)</f>
        <v>31</v>
      </c>
      <c r="BB8" s="115">
        <v>15000</v>
      </c>
      <c r="BC8" s="118">
        <f>MarchReport[[#This Row],[SALARY]]/MarchReport[[#This Row],[PAID DAYS]]</f>
        <v>483.87096774193549</v>
      </c>
      <c r="BD8" s="121">
        <f>MarchReport[[#This Row],[SALARY]]-MarchReport[[#This Row],[ DEDUCTION]]</f>
        <v>14516.129032258064</v>
      </c>
      <c r="BE8" s="136"/>
      <c r="BF8" s="27"/>
      <c r="BG8" s="27"/>
      <c r="BH8" s="94"/>
      <c r="BI8" s="30"/>
      <c r="BJ8" s="30"/>
      <c r="BK8" s="30"/>
      <c r="BL8" s="30"/>
      <c r="BM8" s="30"/>
      <c r="BN8" s="30"/>
    </row>
    <row r="9" spans="4:66" ht="30" customHeight="1">
      <c r="D9" s="84"/>
      <c r="E9" s="25"/>
      <c r="F9" s="25"/>
      <c r="G9" s="6">
        <v>2</v>
      </c>
      <c r="H9" s="51">
        <v>1002</v>
      </c>
      <c r="I9" s="7" t="s">
        <v>2</v>
      </c>
      <c r="J9" s="6">
        <f t="shared" ref="J9:J27" si="6">COUNTIF($K$6:$AO$6,"sun")</f>
        <v>4</v>
      </c>
      <c r="K9" s="51" t="s">
        <v>38</v>
      </c>
      <c r="L9" s="51" t="s">
        <v>38</v>
      </c>
      <c r="M9" s="51" t="s">
        <v>38</v>
      </c>
      <c r="N9" s="51" t="s">
        <v>38</v>
      </c>
      <c r="O9" s="51" t="str">
        <f t="shared" si="2"/>
        <v>Wo</v>
      </c>
      <c r="P9" s="51" t="s">
        <v>38</v>
      </c>
      <c r="Q9" s="51" t="s">
        <v>38</v>
      </c>
      <c r="R9" s="51" t="s">
        <v>40</v>
      </c>
      <c r="S9" s="51" t="s">
        <v>38</v>
      </c>
      <c r="T9" s="51" t="s">
        <v>38</v>
      </c>
      <c r="U9" s="51" t="s">
        <v>38</v>
      </c>
      <c r="V9" s="51" t="str">
        <f t="shared" si="2"/>
        <v>Wo</v>
      </c>
      <c r="W9" s="51" t="s">
        <v>38</v>
      </c>
      <c r="X9" s="51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145" t="str">
        <f t="shared" si="2"/>
        <v>Wo</v>
      </c>
      <c r="AD9" s="146" t="s">
        <v>39</v>
      </c>
      <c r="AE9" s="146" t="s">
        <v>38</v>
      </c>
      <c r="AF9" s="146" t="s">
        <v>40</v>
      </c>
      <c r="AG9" s="146" t="s">
        <v>38</v>
      </c>
      <c r="AH9" s="146" t="s">
        <v>38</v>
      </c>
      <c r="AI9" s="146" t="s">
        <v>38</v>
      </c>
      <c r="AJ9" s="146" t="str">
        <f t="shared" si="2"/>
        <v>Wo</v>
      </c>
      <c r="AK9" s="146" t="s">
        <v>38</v>
      </c>
      <c r="AL9" s="146" t="s">
        <v>38</v>
      </c>
      <c r="AM9" s="146" t="s">
        <v>38</v>
      </c>
      <c r="AN9" s="146" t="s">
        <v>40</v>
      </c>
      <c r="AO9" s="43" t="s">
        <v>38</v>
      </c>
      <c r="AP9" s="95"/>
      <c r="AQ9" s="28"/>
      <c r="AR9" s="7">
        <v>2</v>
      </c>
      <c r="AS9" s="107">
        <v>1002</v>
      </c>
      <c r="AT9" s="7" t="str">
        <f t="shared" si="3"/>
        <v>March</v>
      </c>
      <c r="AU9" s="11" t="s">
        <v>2</v>
      </c>
      <c r="AV9" s="110">
        <f t="shared" ref="AV9:AV27" si="7">COUNTIF($K$8:$AO$8,"P")</f>
        <v>23</v>
      </c>
      <c r="AW9" s="110">
        <f t="shared" si="4"/>
        <v>1</v>
      </c>
      <c r="AX9" s="110">
        <f t="shared" si="5"/>
        <v>4</v>
      </c>
      <c r="AY9" s="110">
        <f t="shared" ref="AY9:AY27" si="8">$J$8</f>
        <v>4</v>
      </c>
      <c r="AZ9" s="113">
        <f t="shared" ref="AZ9:AZ27" si="9">$K$4</f>
        <v>31</v>
      </c>
      <c r="BA9" s="113">
        <f t="shared" ref="BA9:BA27" si="10">(AZ9-AW9)</f>
        <v>30</v>
      </c>
      <c r="BB9" s="116">
        <v>16000</v>
      </c>
      <c r="BC9" s="119">
        <f>MarchReport[[#This Row],[SALARY]]/MarchReport[[#This Row],[PAID DAYS]]</f>
        <v>533.33333333333337</v>
      </c>
      <c r="BD9" s="121">
        <f>MarchReport[[#This Row],[SALARY]]-MarchReport[[#This Row],[ DEDUCTION]]</f>
        <v>15466.666666666666</v>
      </c>
      <c r="BE9" s="136"/>
      <c r="BF9" s="27"/>
      <c r="BG9" s="27"/>
      <c r="BH9" s="94"/>
      <c r="BI9" s="30"/>
      <c r="BJ9" s="30"/>
      <c r="BK9" s="30"/>
      <c r="BL9" s="30"/>
      <c r="BM9" s="30"/>
      <c r="BN9" s="30"/>
    </row>
    <row r="10" spans="4:66" ht="30" customHeight="1">
      <c r="D10" s="84"/>
      <c r="E10" s="25"/>
      <c r="F10" s="25"/>
      <c r="G10" s="6">
        <v>3</v>
      </c>
      <c r="H10" s="51">
        <v>1003</v>
      </c>
      <c r="I10" s="7" t="s">
        <v>3</v>
      </c>
      <c r="J10" s="6">
        <f t="shared" si="6"/>
        <v>4</v>
      </c>
      <c r="K10" s="51" t="s">
        <v>38</v>
      </c>
      <c r="L10" s="51" t="s">
        <v>39</v>
      </c>
      <c r="M10" s="51" t="s">
        <v>38</v>
      </c>
      <c r="N10" s="51" t="s">
        <v>38</v>
      </c>
      <c r="O10" s="51" t="str">
        <f t="shared" si="2"/>
        <v>Wo</v>
      </c>
      <c r="P10" s="51" t="s">
        <v>38</v>
      </c>
      <c r="Q10" s="51" t="s">
        <v>38</v>
      </c>
      <c r="R10" s="51" t="s">
        <v>40</v>
      </c>
      <c r="S10" s="51" t="s">
        <v>38</v>
      </c>
      <c r="T10" s="51" t="s">
        <v>38</v>
      </c>
      <c r="U10" s="51" t="s">
        <v>38</v>
      </c>
      <c r="V10" s="51" t="str">
        <f t="shared" si="2"/>
        <v>Wo</v>
      </c>
      <c r="W10" s="51" t="s">
        <v>38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145" t="str">
        <f t="shared" si="2"/>
        <v>Wo</v>
      </c>
      <c r="AD10" s="146" t="s">
        <v>38</v>
      </c>
      <c r="AE10" s="146" t="s">
        <v>38</v>
      </c>
      <c r="AF10" s="146" t="s">
        <v>40</v>
      </c>
      <c r="AG10" s="146" t="s">
        <v>38</v>
      </c>
      <c r="AH10" s="146" t="s">
        <v>38</v>
      </c>
      <c r="AI10" s="146" t="s">
        <v>39</v>
      </c>
      <c r="AJ10" s="146" t="str">
        <f t="shared" si="2"/>
        <v>Wo</v>
      </c>
      <c r="AK10" s="146" t="s">
        <v>38</v>
      </c>
      <c r="AL10" s="146" t="s">
        <v>38</v>
      </c>
      <c r="AM10" s="146" t="s">
        <v>38</v>
      </c>
      <c r="AN10" s="146" t="s">
        <v>40</v>
      </c>
      <c r="AO10" s="43" t="s">
        <v>38</v>
      </c>
      <c r="AP10" s="95"/>
      <c r="AQ10" s="28"/>
      <c r="AR10" s="7">
        <v>3</v>
      </c>
      <c r="AS10" s="107">
        <v>1003</v>
      </c>
      <c r="AT10" s="7" t="str">
        <f t="shared" si="3"/>
        <v>March</v>
      </c>
      <c r="AU10" s="11" t="s">
        <v>3</v>
      </c>
      <c r="AV10" s="110">
        <f t="shared" si="7"/>
        <v>23</v>
      </c>
      <c r="AW10" s="110">
        <f t="shared" si="4"/>
        <v>2</v>
      </c>
      <c r="AX10" s="110">
        <f t="shared" si="5"/>
        <v>4</v>
      </c>
      <c r="AY10" s="110">
        <f t="shared" si="8"/>
        <v>4</v>
      </c>
      <c r="AZ10" s="113">
        <f t="shared" si="9"/>
        <v>31</v>
      </c>
      <c r="BA10" s="113">
        <f t="shared" si="10"/>
        <v>29</v>
      </c>
      <c r="BB10" s="116">
        <v>18000</v>
      </c>
      <c r="BC10" s="119">
        <f>MarchReport[[#This Row],[SALARY]]/MarchReport[[#This Row],[PAID DAYS]]</f>
        <v>620.68965517241384</v>
      </c>
      <c r="BD10" s="121">
        <f>MarchReport[[#This Row],[SALARY]]-MarchReport[[#This Row],[ DEDUCTION]]</f>
        <v>17379.310344827587</v>
      </c>
      <c r="BE10" s="136"/>
      <c r="BF10" s="27"/>
      <c r="BG10" s="27"/>
      <c r="BH10" s="94"/>
      <c r="BI10" s="30"/>
      <c r="BJ10" s="30"/>
      <c r="BK10" s="30"/>
      <c r="BL10" s="30"/>
      <c r="BM10" s="30"/>
      <c r="BN10" s="30"/>
    </row>
    <row r="11" spans="4:66" ht="30" customHeight="1">
      <c r="D11" s="84"/>
      <c r="E11" s="25"/>
      <c r="F11" s="25"/>
      <c r="G11" s="6">
        <v>4</v>
      </c>
      <c r="H11" s="51">
        <v>1004</v>
      </c>
      <c r="I11" s="7" t="s">
        <v>4</v>
      </c>
      <c r="J11" s="6">
        <f t="shared" si="6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2"/>
        <v>Wo</v>
      </c>
      <c r="P11" s="51" t="s">
        <v>38</v>
      </c>
      <c r="Q11" s="51" t="s">
        <v>39</v>
      </c>
      <c r="R11" s="51" t="s">
        <v>40</v>
      </c>
      <c r="S11" s="51" t="s">
        <v>39</v>
      </c>
      <c r="T11" s="51" t="s">
        <v>38</v>
      </c>
      <c r="U11" s="51" t="s">
        <v>38</v>
      </c>
      <c r="V11" s="51" t="str">
        <f t="shared" si="2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38</v>
      </c>
      <c r="AB11" s="51" t="s">
        <v>38</v>
      </c>
      <c r="AC11" s="145" t="str">
        <f t="shared" si="2"/>
        <v>Wo</v>
      </c>
      <c r="AD11" s="146" t="s">
        <v>38</v>
      </c>
      <c r="AE11" s="146" t="s">
        <v>38</v>
      </c>
      <c r="AF11" s="146" t="s">
        <v>40</v>
      </c>
      <c r="AG11" s="146" t="s">
        <v>38</v>
      </c>
      <c r="AH11" s="146" t="s">
        <v>38</v>
      </c>
      <c r="AI11" s="146" t="s">
        <v>38</v>
      </c>
      <c r="AJ11" s="146" t="str">
        <f t="shared" si="2"/>
        <v>Wo</v>
      </c>
      <c r="AK11" s="146" t="s">
        <v>38</v>
      </c>
      <c r="AL11" s="146" t="s">
        <v>38</v>
      </c>
      <c r="AM11" s="146" t="s">
        <v>38</v>
      </c>
      <c r="AN11" s="146" t="s">
        <v>40</v>
      </c>
      <c r="AO11" s="43" t="s">
        <v>38</v>
      </c>
      <c r="AP11" s="95"/>
      <c r="AQ11" s="28"/>
      <c r="AR11" s="7">
        <v>4</v>
      </c>
      <c r="AS11" s="107">
        <v>1004</v>
      </c>
      <c r="AT11" s="7" t="str">
        <f t="shared" si="3"/>
        <v>March</v>
      </c>
      <c r="AU11" s="11" t="s">
        <v>4</v>
      </c>
      <c r="AV11" s="110">
        <f t="shared" si="7"/>
        <v>23</v>
      </c>
      <c r="AW11" s="110">
        <f t="shared" si="4"/>
        <v>2</v>
      </c>
      <c r="AX11" s="110">
        <f t="shared" si="5"/>
        <v>4</v>
      </c>
      <c r="AY11" s="110">
        <f t="shared" si="8"/>
        <v>4</v>
      </c>
      <c r="AZ11" s="113">
        <f t="shared" si="9"/>
        <v>31</v>
      </c>
      <c r="BA11" s="113">
        <f t="shared" si="10"/>
        <v>29</v>
      </c>
      <c r="BB11" s="116">
        <v>21000</v>
      </c>
      <c r="BC11" s="119">
        <f>MarchReport[[#This Row],[SALARY]]/MarchReport[[#This Row],[PAID DAYS]]</f>
        <v>724.13793103448279</v>
      </c>
      <c r="BD11" s="121">
        <f>MarchReport[[#This Row],[SALARY]]-MarchReport[[#This Row],[ DEDUCTION]]</f>
        <v>20275.862068965518</v>
      </c>
      <c r="BE11" s="136"/>
      <c r="BF11" s="27"/>
      <c r="BG11" s="27"/>
      <c r="BH11" s="94"/>
      <c r="BI11" s="30"/>
      <c r="BJ11" s="30"/>
      <c r="BK11" s="30"/>
      <c r="BL11" s="30"/>
      <c r="BM11" s="30"/>
      <c r="BN11" s="30"/>
    </row>
    <row r="12" spans="4:66" ht="30" customHeight="1">
      <c r="D12" s="84"/>
      <c r="E12" s="25"/>
      <c r="F12" s="25"/>
      <c r="G12" s="6">
        <v>5</v>
      </c>
      <c r="H12" s="51">
        <v>1005</v>
      </c>
      <c r="I12" s="7" t="s">
        <v>5</v>
      </c>
      <c r="J12" s="6">
        <f t="shared" si="6"/>
        <v>4</v>
      </c>
      <c r="K12" s="51" t="s">
        <v>38</v>
      </c>
      <c r="L12" s="51" t="s">
        <v>38</v>
      </c>
      <c r="M12" s="51" t="s">
        <v>38</v>
      </c>
      <c r="N12" s="51" t="s">
        <v>38</v>
      </c>
      <c r="O12" s="51" t="str">
        <f t="shared" si="2"/>
        <v>Wo</v>
      </c>
      <c r="P12" s="51" t="s">
        <v>38</v>
      </c>
      <c r="Q12" s="51" t="s">
        <v>38</v>
      </c>
      <c r="R12" s="51" t="s">
        <v>40</v>
      </c>
      <c r="S12" s="51" t="s">
        <v>38</v>
      </c>
      <c r="T12" s="51" t="s">
        <v>38</v>
      </c>
      <c r="U12" s="51" t="s">
        <v>38</v>
      </c>
      <c r="V12" s="51" t="str">
        <f t="shared" si="2"/>
        <v>Wo</v>
      </c>
      <c r="W12" s="51" t="s">
        <v>38</v>
      </c>
      <c r="X12" s="51" t="s">
        <v>38</v>
      </c>
      <c r="Y12" s="51" t="s">
        <v>38</v>
      </c>
      <c r="Z12" s="51" t="s">
        <v>40</v>
      </c>
      <c r="AA12" s="51" t="s">
        <v>38</v>
      </c>
      <c r="AB12" s="51" t="s">
        <v>38</v>
      </c>
      <c r="AC12" s="145" t="str">
        <f t="shared" si="2"/>
        <v>Wo</v>
      </c>
      <c r="AD12" s="146" t="s">
        <v>38</v>
      </c>
      <c r="AE12" s="146" t="s">
        <v>38</v>
      </c>
      <c r="AF12" s="146" t="s">
        <v>40</v>
      </c>
      <c r="AG12" s="146" t="s">
        <v>38</v>
      </c>
      <c r="AH12" s="146" t="s">
        <v>38</v>
      </c>
      <c r="AI12" s="146" t="s">
        <v>38</v>
      </c>
      <c r="AJ12" s="146" t="str">
        <f t="shared" si="2"/>
        <v>Wo</v>
      </c>
      <c r="AK12" s="146" t="s">
        <v>38</v>
      </c>
      <c r="AL12" s="146" t="s">
        <v>38</v>
      </c>
      <c r="AM12" s="146" t="s">
        <v>38</v>
      </c>
      <c r="AN12" s="146" t="s">
        <v>40</v>
      </c>
      <c r="AO12" s="43" t="s">
        <v>38</v>
      </c>
      <c r="AP12" s="95"/>
      <c r="AQ12" s="28"/>
      <c r="AR12" s="7">
        <v>5</v>
      </c>
      <c r="AS12" s="107">
        <v>1005</v>
      </c>
      <c r="AT12" s="7" t="str">
        <f t="shared" si="3"/>
        <v>March</v>
      </c>
      <c r="AU12" s="11" t="s">
        <v>5</v>
      </c>
      <c r="AV12" s="110">
        <f t="shared" si="7"/>
        <v>23</v>
      </c>
      <c r="AW12" s="110">
        <f t="shared" si="4"/>
        <v>0</v>
      </c>
      <c r="AX12" s="110">
        <f t="shared" si="5"/>
        <v>4</v>
      </c>
      <c r="AY12" s="110">
        <f t="shared" si="8"/>
        <v>4</v>
      </c>
      <c r="AZ12" s="113">
        <f t="shared" si="9"/>
        <v>31</v>
      </c>
      <c r="BA12" s="113">
        <f t="shared" si="10"/>
        <v>31</v>
      </c>
      <c r="BB12" s="116">
        <v>30000</v>
      </c>
      <c r="BC12" s="119">
        <f>MarchReport[[#This Row],[SALARY]]/MarchReport[[#This Row],[PAID DAYS]]</f>
        <v>967.74193548387098</v>
      </c>
      <c r="BD12" s="121">
        <f>MarchReport[[#This Row],[SALARY]]-MarchReport[[#This Row],[ DEDUCTION]]</f>
        <v>29032.258064516129</v>
      </c>
      <c r="BE12" s="136"/>
      <c r="BF12" s="27"/>
      <c r="BG12" s="27"/>
      <c r="BH12" s="94"/>
      <c r="BI12" s="30"/>
      <c r="BJ12" s="30"/>
      <c r="BK12" s="30"/>
      <c r="BL12" s="30"/>
      <c r="BM12" s="30"/>
      <c r="BN12" s="30"/>
    </row>
    <row r="13" spans="4:66" ht="30" customHeight="1">
      <c r="D13" s="84"/>
      <c r="E13" s="25"/>
      <c r="F13" s="25"/>
      <c r="G13" s="6">
        <v>6</v>
      </c>
      <c r="H13" s="51">
        <v>1006</v>
      </c>
      <c r="I13" s="7" t="s">
        <v>6</v>
      </c>
      <c r="J13" s="6">
        <f t="shared" si="6"/>
        <v>4</v>
      </c>
      <c r="K13" s="51" t="s">
        <v>38</v>
      </c>
      <c r="L13" s="51" t="s">
        <v>38</v>
      </c>
      <c r="M13" s="51" t="s">
        <v>38</v>
      </c>
      <c r="N13" s="51" t="s">
        <v>38</v>
      </c>
      <c r="O13" s="51" t="str">
        <f t="shared" si="2"/>
        <v>Wo</v>
      </c>
      <c r="P13" s="51" t="s">
        <v>38</v>
      </c>
      <c r="Q13" s="51" t="s">
        <v>38</v>
      </c>
      <c r="R13" s="51" t="s">
        <v>40</v>
      </c>
      <c r="S13" s="51" t="s">
        <v>38</v>
      </c>
      <c r="T13" s="51" t="s">
        <v>38</v>
      </c>
      <c r="U13" s="51" t="s">
        <v>38</v>
      </c>
      <c r="V13" s="51" t="str">
        <f t="shared" si="2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38</v>
      </c>
      <c r="AC13" s="145" t="str">
        <f t="shared" si="2"/>
        <v>Wo</v>
      </c>
      <c r="AD13" s="146" t="s">
        <v>38</v>
      </c>
      <c r="AE13" s="146" t="s">
        <v>38</v>
      </c>
      <c r="AF13" s="146" t="s">
        <v>40</v>
      </c>
      <c r="AG13" s="146" t="s">
        <v>38</v>
      </c>
      <c r="AH13" s="146" t="s">
        <v>38</v>
      </c>
      <c r="AI13" s="146" t="s">
        <v>38</v>
      </c>
      <c r="AJ13" s="146" t="str">
        <f t="shared" si="2"/>
        <v>Wo</v>
      </c>
      <c r="AK13" s="146" t="s">
        <v>38</v>
      </c>
      <c r="AL13" s="146" t="s">
        <v>38</v>
      </c>
      <c r="AM13" s="146" t="s">
        <v>38</v>
      </c>
      <c r="AN13" s="146" t="s">
        <v>40</v>
      </c>
      <c r="AO13" s="43" t="s">
        <v>38</v>
      </c>
      <c r="AP13" s="95"/>
      <c r="AQ13" s="28"/>
      <c r="AR13" s="7">
        <v>6</v>
      </c>
      <c r="AS13" s="107">
        <v>1006</v>
      </c>
      <c r="AT13" s="7" t="str">
        <f t="shared" si="3"/>
        <v>March</v>
      </c>
      <c r="AU13" s="11" t="s">
        <v>6</v>
      </c>
      <c r="AV13" s="110">
        <f t="shared" si="7"/>
        <v>23</v>
      </c>
      <c r="AW13" s="110">
        <f t="shared" si="4"/>
        <v>0</v>
      </c>
      <c r="AX13" s="110">
        <f t="shared" si="5"/>
        <v>4</v>
      </c>
      <c r="AY13" s="110">
        <f t="shared" si="8"/>
        <v>4</v>
      </c>
      <c r="AZ13" s="113">
        <f t="shared" si="9"/>
        <v>31</v>
      </c>
      <c r="BA13" s="113">
        <f t="shared" si="10"/>
        <v>31</v>
      </c>
      <c r="BB13" s="116">
        <v>25000</v>
      </c>
      <c r="BC13" s="119">
        <f>MarchReport[[#This Row],[SALARY]]/MarchReport[[#This Row],[PAID DAYS]]</f>
        <v>806.45161290322585</v>
      </c>
      <c r="BD13" s="121">
        <f>MarchReport[[#This Row],[SALARY]]-MarchReport[[#This Row],[ DEDUCTION]]</f>
        <v>24193.548387096773</v>
      </c>
      <c r="BE13" s="136"/>
      <c r="BF13" s="27"/>
      <c r="BG13" s="27"/>
      <c r="BH13" s="94"/>
      <c r="BI13" s="30"/>
      <c r="BJ13" s="30"/>
      <c r="BK13" s="30"/>
      <c r="BL13" s="30"/>
      <c r="BM13" s="30"/>
      <c r="BN13" s="30"/>
    </row>
    <row r="14" spans="4:66" ht="30" customHeight="1">
      <c r="D14" s="84"/>
      <c r="E14" s="25"/>
      <c r="F14" s="25"/>
      <c r="G14" s="6">
        <v>7</v>
      </c>
      <c r="H14" s="51">
        <v>1007</v>
      </c>
      <c r="I14" s="7" t="s">
        <v>7</v>
      </c>
      <c r="J14" s="6">
        <f t="shared" si="6"/>
        <v>4</v>
      </c>
      <c r="K14" s="51" t="s">
        <v>38</v>
      </c>
      <c r="L14" s="51" t="s">
        <v>38</v>
      </c>
      <c r="M14" s="51" t="s">
        <v>38</v>
      </c>
      <c r="N14" s="51" t="s">
        <v>38</v>
      </c>
      <c r="O14" s="51" t="str">
        <f t="shared" si="2"/>
        <v>Wo</v>
      </c>
      <c r="P14" s="51" t="s">
        <v>38</v>
      </c>
      <c r="Q14" s="51" t="s">
        <v>38</v>
      </c>
      <c r="R14" s="51" t="s">
        <v>40</v>
      </c>
      <c r="S14" s="51" t="s">
        <v>38</v>
      </c>
      <c r="T14" s="51" t="s">
        <v>38</v>
      </c>
      <c r="U14" s="51" t="s">
        <v>38</v>
      </c>
      <c r="V14" s="51" t="str">
        <f t="shared" si="2"/>
        <v>Wo</v>
      </c>
      <c r="W14" s="51" t="s">
        <v>38</v>
      </c>
      <c r="X14" s="51" t="s">
        <v>38</v>
      </c>
      <c r="Y14" s="51" t="s">
        <v>38</v>
      </c>
      <c r="Z14" s="51" t="s">
        <v>40</v>
      </c>
      <c r="AA14" s="51" t="s">
        <v>39</v>
      </c>
      <c r="AB14" s="51" t="s">
        <v>38</v>
      </c>
      <c r="AC14" s="145" t="str">
        <f t="shared" si="2"/>
        <v>Wo</v>
      </c>
      <c r="AD14" s="146" t="s">
        <v>38</v>
      </c>
      <c r="AE14" s="146" t="s">
        <v>38</v>
      </c>
      <c r="AF14" s="146" t="s">
        <v>40</v>
      </c>
      <c r="AG14" s="146" t="s">
        <v>39</v>
      </c>
      <c r="AH14" s="146" t="s">
        <v>38</v>
      </c>
      <c r="AI14" s="146" t="s">
        <v>38</v>
      </c>
      <c r="AJ14" s="146" t="str">
        <f t="shared" si="2"/>
        <v>Wo</v>
      </c>
      <c r="AK14" s="146" t="s">
        <v>38</v>
      </c>
      <c r="AL14" s="146" t="s">
        <v>38</v>
      </c>
      <c r="AM14" s="146" t="s">
        <v>38</v>
      </c>
      <c r="AN14" s="146" t="s">
        <v>40</v>
      </c>
      <c r="AO14" s="43" t="s">
        <v>38</v>
      </c>
      <c r="AP14" s="95"/>
      <c r="AQ14" s="28"/>
      <c r="AR14" s="7">
        <v>7</v>
      </c>
      <c r="AS14" s="107">
        <v>1007</v>
      </c>
      <c r="AT14" s="7" t="str">
        <f t="shared" si="3"/>
        <v>March</v>
      </c>
      <c r="AU14" s="11" t="s">
        <v>7</v>
      </c>
      <c r="AV14" s="110">
        <f t="shared" si="7"/>
        <v>23</v>
      </c>
      <c r="AW14" s="110">
        <f t="shared" si="4"/>
        <v>2</v>
      </c>
      <c r="AX14" s="110">
        <f t="shared" si="5"/>
        <v>4</v>
      </c>
      <c r="AY14" s="110">
        <f t="shared" si="8"/>
        <v>4</v>
      </c>
      <c r="AZ14" s="113">
        <f t="shared" si="9"/>
        <v>31</v>
      </c>
      <c r="BA14" s="113">
        <f t="shared" si="10"/>
        <v>29</v>
      </c>
      <c r="BB14" s="116">
        <v>30000</v>
      </c>
      <c r="BC14" s="119">
        <f>MarchReport[[#This Row],[SALARY]]/MarchReport[[#This Row],[PAID DAYS]]</f>
        <v>1034.4827586206898</v>
      </c>
      <c r="BD14" s="121">
        <f>MarchReport[[#This Row],[SALARY]]-MarchReport[[#This Row],[ DEDUCTION]]</f>
        <v>28965.517241379312</v>
      </c>
      <c r="BE14" s="136"/>
      <c r="BF14" s="27"/>
      <c r="BG14" s="27"/>
      <c r="BH14" s="94"/>
      <c r="BI14" s="30"/>
      <c r="BJ14" s="30"/>
      <c r="BK14" s="30"/>
      <c r="BL14" s="30"/>
      <c r="BM14" s="30"/>
      <c r="BN14" s="30"/>
    </row>
    <row r="15" spans="4:66" ht="30" customHeight="1">
      <c r="D15" s="84"/>
      <c r="E15" s="25"/>
      <c r="F15" s="25"/>
      <c r="G15" s="6">
        <v>8</v>
      </c>
      <c r="H15" s="51">
        <v>1008</v>
      </c>
      <c r="I15" s="7" t="s">
        <v>8</v>
      </c>
      <c r="J15" s="6">
        <f t="shared" si="6"/>
        <v>4</v>
      </c>
      <c r="K15" s="51" t="s">
        <v>38</v>
      </c>
      <c r="L15" s="51" t="s">
        <v>39</v>
      </c>
      <c r="M15" s="51" t="s">
        <v>38</v>
      </c>
      <c r="N15" s="51" t="s">
        <v>38</v>
      </c>
      <c r="O15" s="51" t="str">
        <f t="shared" si="2"/>
        <v>Wo</v>
      </c>
      <c r="P15" s="51" t="s">
        <v>38</v>
      </c>
      <c r="Q15" s="51" t="s">
        <v>38</v>
      </c>
      <c r="R15" s="51" t="s">
        <v>40</v>
      </c>
      <c r="S15" s="51" t="s">
        <v>38</v>
      </c>
      <c r="T15" s="51" t="s">
        <v>38</v>
      </c>
      <c r="U15" s="51" t="s">
        <v>38</v>
      </c>
      <c r="V15" s="51" t="str">
        <f t="shared" si="2"/>
        <v>Wo</v>
      </c>
      <c r="W15" s="51" t="s">
        <v>38</v>
      </c>
      <c r="X15" s="51" t="s">
        <v>38</v>
      </c>
      <c r="Y15" s="51" t="s">
        <v>39</v>
      </c>
      <c r="Z15" s="51" t="s">
        <v>40</v>
      </c>
      <c r="AA15" s="51" t="s">
        <v>38</v>
      </c>
      <c r="AB15" s="51" t="s">
        <v>38</v>
      </c>
      <c r="AC15" s="145" t="str">
        <f t="shared" si="2"/>
        <v>Wo</v>
      </c>
      <c r="AD15" s="146" t="s">
        <v>38</v>
      </c>
      <c r="AE15" s="146" t="s">
        <v>38</v>
      </c>
      <c r="AF15" s="146" t="s">
        <v>40</v>
      </c>
      <c r="AG15" s="146" t="s">
        <v>38</v>
      </c>
      <c r="AH15" s="146" t="s">
        <v>38</v>
      </c>
      <c r="AI15" s="146" t="s">
        <v>38</v>
      </c>
      <c r="AJ15" s="146" t="str">
        <f t="shared" si="2"/>
        <v>Wo</v>
      </c>
      <c r="AK15" s="146" t="s">
        <v>38</v>
      </c>
      <c r="AL15" s="146" t="s">
        <v>38</v>
      </c>
      <c r="AM15" s="146" t="s">
        <v>38</v>
      </c>
      <c r="AN15" s="146" t="s">
        <v>40</v>
      </c>
      <c r="AO15" s="43" t="s">
        <v>38</v>
      </c>
      <c r="AP15" s="95"/>
      <c r="AQ15" s="28"/>
      <c r="AR15" s="7">
        <v>8</v>
      </c>
      <c r="AS15" s="107">
        <v>1008</v>
      </c>
      <c r="AT15" s="7" t="str">
        <f t="shared" si="3"/>
        <v>March</v>
      </c>
      <c r="AU15" s="11" t="s">
        <v>8</v>
      </c>
      <c r="AV15" s="110">
        <f t="shared" si="7"/>
        <v>23</v>
      </c>
      <c r="AW15" s="110">
        <f t="shared" si="4"/>
        <v>2</v>
      </c>
      <c r="AX15" s="110">
        <f t="shared" si="5"/>
        <v>4</v>
      </c>
      <c r="AY15" s="110">
        <f t="shared" si="8"/>
        <v>4</v>
      </c>
      <c r="AZ15" s="113">
        <f t="shared" si="9"/>
        <v>31</v>
      </c>
      <c r="BA15" s="113">
        <f t="shared" si="10"/>
        <v>29</v>
      </c>
      <c r="BB15" s="116">
        <v>35000</v>
      </c>
      <c r="BC15" s="119">
        <f>MarchReport[[#This Row],[SALARY]]/MarchReport[[#This Row],[PAID DAYS]]</f>
        <v>1206.8965517241379</v>
      </c>
      <c r="BD15" s="121">
        <f>MarchReport[[#This Row],[SALARY]]-MarchReport[[#This Row],[ DEDUCTION]]</f>
        <v>33793.103448275862</v>
      </c>
      <c r="BE15" s="136"/>
      <c r="BF15" s="27"/>
      <c r="BG15" s="27"/>
      <c r="BH15" s="94"/>
      <c r="BI15" s="30"/>
      <c r="BJ15" s="30"/>
      <c r="BK15" s="30"/>
      <c r="BL15" s="30"/>
      <c r="BM15" s="30"/>
      <c r="BN15" s="30"/>
    </row>
    <row r="16" spans="4:66" ht="30" customHeight="1">
      <c r="D16" s="84"/>
      <c r="E16" s="25" t="s">
        <v>0</v>
      </c>
      <c r="F16" s="25"/>
      <c r="G16" s="6">
        <v>9</v>
      </c>
      <c r="H16" s="51">
        <v>1009</v>
      </c>
      <c r="I16" s="7" t="s">
        <v>9</v>
      </c>
      <c r="J16" s="6">
        <f t="shared" si="6"/>
        <v>4</v>
      </c>
      <c r="K16" s="51" t="s">
        <v>38</v>
      </c>
      <c r="L16" s="51" t="s">
        <v>38</v>
      </c>
      <c r="M16" s="51" t="s">
        <v>38</v>
      </c>
      <c r="N16" s="51" t="s">
        <v>38</v>
      </c>
      <c r="O16" s="51" t="str">
        <f t="shared" si="2"/>
        <v>Wo</v>
      </c>
      <c r="P16" s="51" t="s">
        <v>38</v>
      </c>
      <c r="Q16" s="51" t="s">
        <v>38</v>
      </c>
      <c r="R16" s="51" t="s">
        <v>40</v>
      </c>
      <c r="S16" s="51" t="s">
        <v>38</v>
      </c>
      <c r="T16" s="51" t="s">
        <v>38</v>
      </c>
      <c r="U16" s="51" t="s">
        <v>38</v>
      </c>
      <c r="V16" s="51" t="str">
        <f t="shared" si="2"/>
        <v>Wo</v>
      </c>
      <c r="W16" s="51" t="s">
        <v>38</v>
      </c>
      <c r="X16" s="51" t="s">
        <v>38</v>
      </c>
      <c r="Y16" s="51" t="s">
        <v>38</v>
      </c>
      <c r="Z16" s="51" t="s">
        <v>40</v>
      </c>
      <c r="AA16" s="51" t="s">
        <v>38</v>
      </c>
      <c r="AB16" s="51" t="s">
        <v>38</v>
      </c>
      <c r="AC16" s="145" t="str">
        <f t="shared" si="2"/>
        <v>Wo</v>
      </c>
      <c r="AD16" s="146" t="s">
        <v>38</v>
      </c>
      <c r="AE16" s="146" t="s">
        <v>38</v>
      </c>
      <c r="AF16" s="146" t="s">
        <v>40</v>
      </c>
      <c r="AG16" s="146" t="s">
        <v>38</v>
      </c>
      <c r="AH16" s="146" t="s">
        <v>38</v>
      </c>
      <c r="AI16" s="146" t="s">
        <v>38</v>
      </c>
      <c r="AJ16" s="146" t="str">
        <f t="shared" si="2"/>
        <v>Wo</v>
      </c>
      <c r="AK16" s="146" t="s">
        <v>38</v>
      </c>
      <c r="AL16" s="146" t="s">
        <v>38</v>
      </c>
      <c r="AM16" s="146" t="s">
        <v>38</v>
      </c>
      <c r="AN16" s="146" t="s">
        <v>40</v>
      </c>
      <c r="AO16" s="43" t="s">
        <v>38</v>
      </c>
      <c r="AP16" s="95"/>
      <c r="AQ16" s="28"/>
      <c r="AR16" s="7">
        <v>9</v>
      </c>
      <c r="AS16" s="107">
        <v>1009</v>
      </c>
      <c r="AT16" s="7" t="str">
        <f t="shared" si="3"/>
        <v>March</v>
      </c>
      <c r="AU16" s="11" t="s">
        <v>9</v>
      </c>
      <c r="AV16" s="110">
        <f t="shared" si="7"/>
        <v>23</v>
      </c>
      <c r="AW16" s="110">
        <f t="shared" si="4"/>
        <v>0</v>
      </c>
      <c r="AX16" s="110">
        <f t="shared" si="5"/>
        <v>4</v>
      </c>
      <c r="AY16" s="110">
        <f t="shared" si="8"/>
        <v>4</v>
      </c>
      <c r="AZ16" s="113">
        <f t="shared" si="9"/>
        <v>31</v>
      </c>
      <c r="BA16" s="113">
        <f t="shared" si="10"/>
        <v>31</v>
      </c>
      <c r="BB16" s="116">
        <v>18000</v>
      </c>
      <c r="BC16" s="119">
        <f>MarchReport[[#This Row],[SALARY]]/MarchReport[[#This Row],[PAID DAYS]]</f>
        <v>580.64516129032256</v>
      </c>
      <c r="BD16" s="121">
        <f>MarchReport[[#This Row],[SALARY]]-MarchReport[[#This Row],[ DEDUCTION]]</f>
        <v>17419.354838709678</v>
      </c>
      <c r="BE16" s="136"/>
      <c r="BF16" s="27"/>
      <c r="BG16" s="27"/>
      <c r="BH16" s="94"/>
      <c r="BI16" s="30"/>
      <c r="BJ16" s="30"/>
      <c r="BK16" s="30"/>
      <c r="BL16" s="30"/>
      <c r="BM16" s="30"/>
      <c r="BN16" s="30"/>
    </row>
    <row r="17" spans="4:66" ht="30" customHeight="1">
      <c r="D17" s="84"/>
      <c r="E17" s="25"/>
      <c r="F17" s="25"/>
      <c r="G17" s="6">
        <v>10</v>
      </c>
      <c r="H17" s="51">
        <v>1010</v>
      </c>
      <c r="I17" s="7" t="s">
        <v>10</v>
      </c>
      <c r="J17" s="6">
        <f t="shared" si="6"/>
        <v>4</v>
      </c>
      <c r="K17" s="51" t="s">
        <v>39</v>
      </c>
      <c r="L17" s="51" t="s">
        <v>38</v>
      </c>
      <c r="M17" s="51" t="s">
        <v>38</v>
      </c>
      <c r="N17" s="51" t="s">
        <v>38</v>
      </c>
      <c r="O17" s="51" t="str">
        <f t="shared" si="2"/>
        <v>Wo</v>
      </c>
      <c r="P17" s="51" t="s">
        <v>38</v>
      </c>
      <c r="Q17" s="51" t="s">
        <v>38</v>
      </c>
      <c r="R17" s="51" t="s">
        <v>40</v>
      </c>
      <c r="S17" s="51" t="s">
        <v>38</v>
      </c>
      <c r="T17" s="51" t="s">
        <v>38</v>
      </c>
      <c r="U17" s="51" t="s">
        <v>38</v>
      </c>
      <c r="V17" s="51" t="str">
        <f t="shared" si="2"/>
        <v>Wo</v>
      </c>
      <c r="W17" s="51" t="s">
        <v>38</v>
      </c>
      <c r="X17" s="51" t="s">
        <v>38</v>
      </c>
      <c r="Y17" s="51" t="s">
        <v>38</v>
      </c>
      <c r="Z17" s="51" t="s">
        <v>40</v>
      </c>
      <c r="AA17" s="51" t="s">
        <v>38</v>
      </c>
      <c r="AB17" s="51" t="s">
        <v>38</v>
      </c>
      <c r="AC17" s="145" t="str">
        <f t="shared" si="2"/>
        <v>Wo</v>
      </c>
      <c r="AD17" s="146" t="s">
        <v>38</v>
      </c>
      <c r="AE17" s="146" t="s">
        <v>38</v>
      </c>
      <c r="AF17" s="146" t="s">
        <v>40</v>
      </c>
      <c r="AG17" s="146" t="s">
        <v>38</v>
      </c>
      <c r="AH17" s="146" t="s">
        <v>38</v>
      </c>
      <c r="AI17" s="146" t="s">
        <v>38</v>
      </c>
      <c r="AJ17" s="146" t="str">
        <f t="shared" si="2"/>
        <v>Wo</v>
      </c>
      <c r="AK17" s="146" t="s">
        <v>38</v>
      </c>
      <c r="AL17" s="146" t="s">
        <v>38</v>
      </c>
      <c r="AM17" s="146" t="s">
        <v>38</v>
      </c>
      <c r="AN17" s="146" t="s">
        <v>40</v>
      </c>
      <c r="AO17" s="43" t="s">
        <v>38</v>
      </c>
      <c r="AP17" s="95"/>
      <c r="AQ17" s="28"/>
      <c r="AR17" s="7">
        <v>10</v>
      </c>
      <c r="AS17" s="107">
        <v>1010</v>
      </c>
      <c r="AT17" s="7" t="str">
        <f t="shared" si="3"/>
        <v>March</v>
      </c>
      <c r="AU17" s="11" t="s">
        <v>10</v>
      </c>
      <c r="AV17" s="110">
        <f t="shared" si="7"/>
        <v>23</v>
      </c>
      <c r="AW17" s="110">
        <f t="shared" si="4"/>
        <v>1</v>
      </c>
      <c r="AX17" s="110">
        <f t="shared" si="5"/>
        <v>4</v>
      </c>
      <c r="AY17" s="110">
        <f t="shared" si="8"/>
        <v>4</v>
      </c>
      <c r="AZ17" s="113">
        <f t="shared" si="9"/>
        <v>31</v>
      </c>
      <c r="BA17" s="113">
        <f t="shared" si="10"/>
        <v>30</v>
      </c>
      <c r="BB17" s="116">
        <v>45000</v>
      </c>
      <c r="BC17" s="119">
        <f>MarchReport[[#This Row],[SALARY]]/MarchReport[[#This Row],[PAID DAYS]]</f>
        <v>1500</v>
      </c>
      <c r="BD17" s="121">
        <f>MarchReport[[#This Row],[SALARY]]-MarchReport[[#This Row],[ DEDUCTION]]</f>
        <v>43500</v>
      </c>
      <c r="BE17" s="136"/>
      <c r="BF17" s="27"/>
      <c r="BG17" s="27"/>
      <c r="BH17" s="94"/>
      <c r="BI17" s="30"/>
      <c r="BJ17" s="30"/>
      <c r="BK17" s="30"/>
      <c r="BL17" s="30"/>
      <c r="BM17" s="30"/>
      <c r="BN17" s="30"/>
    </row>
    <row r="18" spans="4:66" ht="30" customHeight="1">
      <c r="D18" s="84"/>
      <c r="E18" s="25"/>
      <c r="F18" s="25"/>
      <c r="G18" s="6">
        <v>11</v>
      </c>
      <c r="H18" s="51">
        <v>1011</v>
      </c>
      <c r="I18" s="7" t="s">
        <v>11</v>
      </c>
      <c r="J18" s="6">
        <f t="shared" si="6"/>
        <v>4</v>
      </c>
      <c r="K18" s="51" t="s">
        <v>38</v>
      </c>
      <c r="L18" s="51" t="s">
        <v>38</v>
      </c>
      <c r="M18" s="51" t="s">
        <v>38</v>
      </c>
      <c r="N18" s="51" t="s">
        <v>38</v>
      </c>
      <c r="O18" s="51" t="str">
        <f t="shared" si="2"/>
        <v>Wo</v>
      </c>
      <c r="P18" s="51" t="s">
        <v>38</v>
      </c>
      <c r="Q18" s="51" t="s">
        <v>38</v>
      </c>
      <c r="R18" s="51" t="s">
        <v>40</v>
      </c>
      <c r="S18" s="51" t="s">
        <v>38</v>
      </c>
      <c r="T18" s="51" t="s">
        <v>38</v>
      </c>
      <c r="U18" s="51" t="s">
        <v>38</v>
      </c>
      <c r="V18" s="51" t="str">
        <f t="shared" si="2"/>
        <v>Wo</v>
      </c>
      <c r="W18" s="51" t="s">
        <v>38</v>
      </c>
      <c r="X18" s="51" t="s">
        <v>38</v>
      </c>
      <c r="Y18" s="51" t="s">
        <v>38</v>
      </c>
      <c r="Z18" s="51" t="s">
        <v>40</v>
      </c>
      <c r="AA18" s="51" t="s">
        <v>38</v>
      </c>
      <c r="AB18" s="51" t="s">
        <v>38</v>
      </c>
      <c r="AC18" s="145" t="str">
        <f t="shared" si="2"/>
        <v>Wo</v>
      </c>
      <c r="AD18" s="146" t="s">
        <v>38</v>
      </c>
      <c r="AE18" s="146" t="s">
        <v>38</v>
      </c>
      <c r="AF18" s="146" t="s">
        <v>40</v>
      </c>
      <c r="AG18" s="146" t="s">
        <v>38</v>
      </c>
      <c r="AH18" s="146" t="s">
        <v>38</v>
      </c>
      <c r="AI18" s="146" t="s">
        <v>38</v>
      </c>
      <c r="AJ18" s="146" t="str">
        <f t="shared" si="2"/>
        <v>Wo</v>
      </c>
      <c r="AK18" s="146" t="s">
        <v>38</v>
      </c>
      <c r="AL18" s="146" t="s">
        <v>38</v>
      </c>
      <c r="AM18" s="146" t="s">
        <v>38</v>
      </c>
      <c r="AN18" s="146" t="s">
        <v>40</v>
      </c>
      <c r="AO18" s="43" t="s">
        <v>38</v>
      </c>
      <c r="AP18" s="95"/>
      <c r="AQ18" s="28"/>
      <c r="AR18" s="7">
        <v>11</v>
      </c>
      <c r="AS18" s="107">
        <v>1011</v>
      </c>
      <c r="AT18" s="7" t="str">
        <f t="shared" si="3"/>
        <v>March</v>
      </c>
      <c r="AU18" s="11" t="s">
        <v>11</v>
      </c>
      <c r="AV18" s="110">
        <f t="shared" si="7"/>
        <v>23</v>
      </c>
      <c r="AW18" s="110">
        <f t="shared" si="4"/>
        <v>0</v>
      </c>
      <c r="AX18" s="110">
        <f t="shared" si="5"/>
        <v>4</v>
      </c>
      <c r="AY18" s="110">
        <f t="shared" si="8"/>
        <v>4</v>
      </c>
      <c r="AZ18" s="113">
        <f t="shared" si="9"/>
        <v>31</v>
      </c>
      <c r="BA18" s="113">
        <f t="shared" si="10"/>
        <v>31</v>
      </c>
      <c r="BB18" s="116">
        <v>55000</v>
      </c>
      <c r="BC18" s="119">
        <f>MarchReport[[#This Row],[SALARY]]/MarchReport[[#This Row],[PAID DAYS]]</f>
        <v>1774.1935483870968</v>
      </c>
      <c r="BD18" s="121">
        <f>MarchReport[[#This Row],[SALARY]]-MarchReport[[#This Row],[ DEDUCTION]]</f>
        <v>53225.806451612902</v>
      </c>
      <c r="BE18" s="136"/>
      <c r="BF18" s="27"/>
      <c r="BG18" s="27"/>
      <c r="BH18" s="94"/>
      <c r="BI18" s="30"/>
      <c r="BJ18" s="30"/>
      <c r="BK18" s="30"/>
      <c r="BL18" s="30"/>
      <c r="BM18" s="30"/>
      <c r="BN18" s="30"/>
    </row>
    <row r="19" spans="4:66" ht="30" customHeight="1">
      <c r="D19" s="84"/>
      <c r="E19" s="25"/>
      <c r="F19" s="25"/>
      <c r="G19" s="6">
        <v>12</v>
      </c>
      <c r="H19" s="51">
        <v>1012</v>
      </c>
      <c r="I19" s="7" t="s">
        <v>12</v>
      </c>
      <c r="J19" s="6">
        <f t="shared" si="6"/>
        <v>4</v>
      </c>
      <c r="K19" s="51" t="s">
        <v>38</v>
      </c>
      <c r="L19" s="51" t="s">
        <v>38</v>
      </c>
      <c r="M19" s="51" t="s">
        <v>38</v>
      </c>
      <c r="N19" s="51" t="s">
        <v>38</v>
      </c>
      <c r="O19" s="51" t="str">
        <f t="shared" si="2"/>
        <v>Wo</v>
      </c>
      <c r="P19" s="51" t="s">
        <v>38</v>
      </c>
      <c r="Q19" s="51" t="s">
        <v>38</v>
      </c>
      <c r="R19" s="51" t="s">
        <v>40</v>
      </c>
      <c r="S19" s="51" t="s">
        <v>38</v>
      </c>
      <c r="T19" s="51" t="s">
        <v>38</v>
      </c>
      <c r="U19" s="51" t="s">
        <v>38</v>
      </c>
      <c r="V19" s="51" t="str">
        <f t="shared" si="2"/>
        <v>Wo</v>
      </c>
      <c r="W19" s="51" t="s">
        <v>38</v>
      </c>
      <c r="X19" s="51" t="s">
        <v>38</v>
      </c>
      <c r="Y19" s="51" t="s">
        <v>38</v>
      </c>
      <c r="Z19" s="51" t="s">
        <v>40</v>
      </c>
      <c r="AA19" s="51" t="s">
        <v>38</v>
      </c>
      <c r="AB19" s="51" t="s">
        <v>38</v>
      </c>
      <c r="AC19" s="145" t="str">
        <f t="shared" si="2"/>
        <v>Wo</v>
      </c>
      <c r="AD19" s="146" t="s">
        <v>38</v>
      </c>
      <c r="AE19" s="146" t="s">
        <v>38</v>
      </c>
      <c r="AF19" s="146" t="s">
        <v>40</v>
      </c>
      <c r="AG19" s="146" t="s">
        <v>38</v>
      </c>
      <c r="AH19" s="146" t="s">
        <v>39</v>
      </c>
      <c r="AI19" s="146" t="s">
        <v>38</v>
      </c>
      <c r="AJ19" s="146" t="str">
        <f t="shared" si="2"/>
        <v>Wo</v>
      </c>
      <c r="AK19" s="146" t="s">
        <v>38</v>
      </c>
      <c r="AL19" s="146" t="s">
        <v>38</v>
      </c>
      <c r="AM19" s="146" t="s">
        <v>38</v>
      </c>
      <c r="AN19" s="146" t="s">
        <v>40</v>
      </c>
      <c r="AO19" s="43" t="s">
        <v>38</v>
      </c>
      <c r="AP19" s="95"/>
      <c r="AQ19" s="28"/>
      <c r="AR19" s="7">
        <v>12</v>
      </c>
      <c r="AS19" s="107">
        <v>1012</v>
      </c>
      <c r="AT19" s="7" t="str">
        <f t="shared" si="3"/>
        <v>March</v>
      </c>
      <c r="AU19" s="11" t="s">
        <v>12</v>
      </c>
      <c r="AV19" s="110">
        <f t="shared" si="7"/>
        <v>23</v>
      </c>
      <c r="AW19" s="110">
        <f t="shared" si="4"/>
        <v>1</v>
      </c>
      <c r="AX19" s="110">
        <f t="shared" si="5"/>
        <v>4</v>
      </c>
      <c r="AY19" s="110">
        <f t="shared" si="8"/>
        <v>4</v>
      </c>
      <c r="AZ19" s="113">
        <f t="shared" si="9"/>
        <v>31</v>
      </c>
      <c r="BA19" s="113">
        <f t="shared" si="10"/>
        <v>30</v>
      </c>
      <c r="BB19" s="116">
        <v>65000</v>
      </c>
      <c r="BC19" s="119">
        <f>MarchReport[[#This Row],[SALARY]]/MarchReport[[#This Row],[PAID DAYS]]</f>
        <v>2166.6666666666665</v>
      </c>
      <c r="BD19" s="121">
        <f>MarchReport[[#This Row],[SALARY]]-MarchReport[[#This Row],[ DEDUCTION]]</f>
        <v>62833.333333333336</v>
      </c>
      <c r="BE19" s="136"/>
      <c r="BF19" s="27"/>
      <c r="BG19" s="27"/>
      <c r="BH19" s="94"/>
      <c r="BI19" s="30"/>
      <c r="BJ19" s="30"/>
      <c r="BK19" s="30"/>
      <c r="BL19" s="30"/>
      <c r="BM19" s="30"/>
      <c r="BN19" s="30"/>
    </row>
    <row r="20" spans="4:66" ht="30" customHeight="1">
      <c r="D20" s="84"/>
      <c r="E20" s="25"/>
      <c r="F20" s="25"/>
      <c r="G20" s="6">
        <v>13</v>
      </c>
      <c r="H20" s="51">
        <v>1013</v>
      </c>
      <c r="I20" s="7" t="s">
        <v>13</v>
      </c>
      <c r="J20" s="6">
        <f t="shared" si="6"/>
        <v>4</v>
      </c>
      <c r="K20" s="51" t="s">
        <v>38</v>
      </c>
      <c r="L20" s="51" t="s">
        <v>38</v>
      </c>
      <c r="M20" s="51" t="s">
        <v>38</v>
      </c>
      <c r="N20" s="51" t="s">
        <v>38</v>
      </c>
      <c r="O20" s="51" t="str">
        <f t="shared" si="2"/>
        <v>Wo</v>
      </c>
      <c r="P20" s="51" t="s">
        <v>38</v>
      </c>
      <c r="Q20" s="51" t="s">
        <v>38</v>
      </c>
      <c r="R20" s="51" t="s">
        <v>40</v>
      </c>
      <c r="S20" s="51" t="s">
        <v>38</v>
      </c>
      <c r="T20" s="51" t="s">
        <v>38</v>
      </c>
      <c r="U20" s="51" t="s">
        <v>38</v>
      </c>
      <c r="V20" s="51" t="str">
        <f t="shared" si="2"/>
        <v>Wo</v>
      </c>
      <c r="W20" s="51" t="s">
        <v>38</v>
      </c>
      <c r="X20" s="51" t="s">
        <v>38</v>
      </c>
      <c r="Y20" s="51" t="s">
        <v>38</v>
      </c>
      <c r="Z20" s="51" t="s">
        <v>40</v>
      </c>
      <c r="AA20" s="51" t="s">
        <v>38</v>
      </c>
      <c r="AB20" s="51" t="s">
        <v>38</v>
      </c>
      <c r="AC20" s="145" t="str">
        <f t="shared" si="2"/>
        <v>Wo</v>
      </c>
      <c r="AD20" s="146" t="s">
        <v>38</v>
      </c>
      <c r="AE20" s="146" t="s">
        <v>38</v>
      </c>
      <c r="AF20" s="146" t="s">
        <v>40</v>
      </c>
      <c r="AG20" s="146" t="s">
        <v>38</v>
      </c>
      <c r="AH20" s="146" t="s">
        <v>38</v>
      </c>
      <c r="AI20" s="146" t="s">
        <v>38</v>
      </c>
      <c r="AJ20" s="146" t="str">
        <f t="shared" si="2"/>
        <v>Wo</v>
      </c>
      <c r="AK20" s="146" t="s">
        <v>38</v>
      </c>
      <c r="AL20" s="146" t="s">
        <v>38</v>
      </c>
      <c r="AM20" s="146" t="s">
        <v>38</v>
      </c>
      <c r="AN20" s="146" t="s">
        <v>40</v>
      </c>
      <c r="AO20" s="43" t="s">
        <v>38</v>
      </c>
      <c r="AP20" s="95"/>
      <c r="AQ20" s="28"/>
      <c r="AR20" s="7">
        <v>13</v>
      </c>
      <c r="AS20" s="107">
        <v>1013</v>
      </c>
      <c r="AT20" s="7" t="str">
        <f t="shared" si="3"/>
        <v>March</v>
      </c>
      <c r="AU20" s="11" t="s">
        <v>13</v>
      </c>
      <c r="AV20" s="110">
        <f t="shared" si="7"/>
        <v>23</v>
      </c>
      <c r="AW20" s="110">
        <f t="shared" si="4"/>
        <v>0</v>
      </c>
      <c r="AX20" s="110">
        <f t="shared" si="5"/>
        <v>4</v>
      </c>
      <c r="AY20" s="110">
        <f t="shared" si="8"/>
        <v>4</v>
      </c>
      <c r="AZ20" s="113">
        <f t="shared" si="9"/>
        <v>31</v>
      </c>
      <c r="BA20" s="113">
        <f t="shared" si="10"/>
        <v>31</v>
      </c>
      <c r="BB20" s="116">
        <v>68000</v>
      </c>
      <c r="BC20" s="119">
        <f>MarchReport[[#This Row],[SALARY]]/MarchReport[[#This Row],[PAID DAYS]]</f>
        <v>2193.5483870967741</v>
      </c>
      <c r="BD20" s="121">
        <f>MarchReport[[#This Row],[SALARY]]-MarchReport[[#This Row],[ DEDUCTION]]</f>
        <v>65806.451612903227</v>
      </c>
      <c r="BE20" s="136"/>
      <c r="BF20" s="27"/>
      <c r="BG20" s="27"/>
      <c r="BH20" s="94"/>
      <c r="BI20" s="30"/>
      <c r="BJ20" s="30"/>
      <c r="BK20" s="30"/>
      <c r="BL20" s="30"/>
      <c r="BM20" s="30"/>
      <c r="BN20" s="30"/>
    </row>
    <row r="21" spans="4:66" ht="30" customHeight="1">
      <c r="D21" s="84"/>
      <c r="E21" s="25"/>
      <c r="F21" s="25"/>
      <c r="G21" s="6">
        <v>14</v>
      </c>
      <c r="H21" s="51">
        <v>1014</v>
      </c>
      <c r="I21" s="7" t="s">
        <v>14</v>
      </c>
      <c r="J21" s="6">
        <f t="shared" si="6"/>
        <v>4</v>
      </c>
      <c r="K21" s="51" t="s">
        <v>38</v>
      </c>
      <c r="L21" s="51" t="s">
        <v>39</v>
      </c>
      <c r="M21" s="51" t="s">
        <v>38</v>
      </c>
      <c r="N21" s="51" t="s">
        <v>38</v>
      </c>
      <c r="O21" s="51" t="str">
        <f t="shared" si="2"/>
        <v>Wo</v>
      </c>
      <c r="P21" s="51" t="s">
        <v>38</v>
      </c>
      <c r="Q21" s="51" t="s">
        <v>38</v>
      </c>
      <c r="R21" s="51" t="s">
        <v>40</v>
      </c>
      <c r="S21" s="51" t="s">
        <v>38</v>
      </c>
      <c r="T21" s="51" t="s">
        <v>38</v>
      </c>
      <c r="U21" s="51" t="s">
        <v>38</v>
      </c>
      <c r="V21" s="51" t="str">
        <f t="shared" si="2"/>
        <v>Wo</v>
      </c>
      <c r="W21" s="51" t="s">
        <v>38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145" t="str">
        <f t="shared" si="2"/>
        <v>Wo</v>
      </c>
      <c r="AD21" s="146" t="s">
        <v>38</v>
      </c>
      <c r="AE21" s="146" t="s">
        <v>38</v>
      </c>
      <c r="AF21" s="146" t="s">
        <v>40</v>
      </c>
      <c r="AG21" s="146" t="s">
        <v>38</v>
      </c>
      <c r="AH21" s="146" t="s">
        <v>38</v>
      </c>
      <c r="AI21" s="146" t="s">
        <v>38</v>
      </c>
      <c r="AJ21" s="146" t="str">
        <f t="shared" si="2"/>
        <v>Wo</v>
      </c>
      <c r="AK21" s="146" t="s">
        <v>38</v>
      </c>
      <c r="AL21" s="146" t="s">
        <v>38</v>
      </c>
      <c r="AM21" s="146" t="s">
        <v>38</v>
      </c>
      <c r="AN21" s="146" t="s">
        <v>40</v>
      </c>
      <c r="AO21" s="43" t="s">
        <v>38</v>
      </c>
      <c r="AP21" s="95"/>
      <c r="AQ21" s="28"/>
      <c r="AR21" s="7">
        <v>14</v>
      </c>
      <c r="AS21" s="107">
        <v>1014</v>
      </c>
      <c r="AT21" s="7" t="str">
        <f t="shared" si="3"/>
        <v>March</v>
      </c>
      <c r="AU21" s="11" t="s">
        <v>14</v>
      </c>
      <c r="AV21" s="110">
        <f t="shared" si="7"/>
        <v>23</v>
      </c>
      <c r="AW21" s="110">
        <f t="shared" si="4"/>
        <v>1</v>
      </c>
      <c r="AX21" s="110">
        <f t="shared" si="5"/>
        <v>4</v>
      </c>
      <c r="AY21" s="110">
        <f t="shared" si="8"/>
        <v>4</v>
      </c>
      <c r="AZ21" s="113">
        <f t="shared" si="9"/>
        <v>31</v>
      </c>
      <c r="BA21" s="113">
        <f t="shared" si="10"/>
        <v>30</v>
      </c>
      <c r="BB21" s="116">
        <v>72000</v>
      </c>
      <c r="BC21" s="119">
        <f>MarchReport[[#This Row],[SALARY]]/MarchReport[[#This Row],[PAID DAYS]]</f>
        <v>2400</v>
      </c>
      <c r="BD21" s="121">
        <f>MarchReport[[#This Row],[SALARY]]-MarchReport[[#This Row],[ DEDUCTION]]</f>
        <v>69600</v>
      </c>
      <c r="BE21" s="136"/>
      <c r="BF21" s="27"/>
      <c r="BG21" s="27"/>
      <c r="BH21" s="94"/>
      <c r="BI21" s="30"/>
      <c r="BJ21" s="30"/>
      <c r="BK21" s="30"/>
      <c r="BL21" s="30"/>
      <c r="BM21" s="30"/>
      <c r="BN21" s="30"/>
    </row>
    <row r="22" spans="4:66" ht="30" customHeight="1">
      <c r="D22" s="84"/>
      <c r="E22" s="25"/>
      <c r="F22" s="25"/>
      <c r="G22" s="6">
        <v>15</v>
      </c>
      <c r="H22" s="51">
        <v>1015</v>
      </c>
      <c r="I22" s="7" t="s">
        <v>15</v>
      </c>
      <c r="J22" s="6">
        <f t="shared" si="6"/>
        <v>4</v>
      </c>
      <c r="K22" s="51" t="s">
        <v>38</v>
      </c>
      <c r="L22" s="51" t="s">
        <v>38</v>
      </c>
      <c r="M22" s="51" t="s">
        <v>38</v>
      </c>
      <c r="N22" s="51" t="s">
        <v>38</v>
      </c>
      <c r="O22" s="51" t="str">
        <f t="shared" si="2"/>
        <v>Wo</v>
      </c>
      <c r="P22" s="51" t="s">
        <v>38</v>
      </c>
      <c r="Q22" s="51" t="s">
        <v>38</v>
      </c>
      <c r="R22" s="51" t="s">
        <v>40</v>
      </c>
      <c r="S22" s="51" t="s">
        <v>39</v>
      </c>
      <c r="T22" s="51" t="s">
        <v>38</v>
      </c>
      <c r="U22" s="51" t="s">
        <v>38</v>
      </c>
      <c r="V22" s="51" t="str">
        <f t="shared" si="2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145" t="str">
        <f t="shared" si="2"/>
        <v>Wo</v>
      </c>
      <c r="AD22" s="146" t="s">
        <v>38</v>
      </c>
      <c r="AE22" s="146" t="s">
        <v>38</v>
      </c>
      <c r="AF22" s="146" t="s">
        <v>40</v>
      </c>
      <c r="AG22" s="146" t="s">
        <v>38</v>
      </c>
      <c r="AH22" s="146" t="s">
        <v>38</v>
      </c>
      <c r="AI22" s="146" t="s">
        <v>38</v>
      </c>
      <c r="AJ22" s="146" t="str">
        <f t="shared" si="2"/>
        <v>Wo</v>
      </c>
      <c r="AK22" s="146" t="s">
        <v>38</v>
      </c>
      <c r="AL22" s="146" t="s">
        <v>38</v>
      </c>
      <c r="AM22" s="146" t="s">
        <v>38</v>
      </c>
      <c r="AN22" s="146" t="s">
        <v>40</v>
      </c>
      <c r="AO22" s="43" t="s">
        <v>38</v>
      </c>
      <c r="AP22" s="95"/>
      <c r="AQ22" s="28"/>
      <c r="AR22" s="7">
        <v>15</v>
      </c>
      <c r="AS22" s="107">
        <v>1015</v>
      </c>
      <c r="AT22" s="7" t="str">
        <f t="shared" si="3"/>
        <v>March</v>
      </c>
      <c r="AU22" s="11" t="s">
        <v>15</v>
      </c>
      <c r="AV22" s="110">
        <f t="shared" si="7"/>
        <v>23</v>
      </c>
      <c r="AW22" s="110">
        <f t="shared" si="4"/>
        <v>1</v>
      </c>
      <c r="AX22" s="110">
        <f t="shared" si="5"/>
        <v>4</v>
      </c>
      <c r="AY22" s="110">
        <f t="shared" si="8"/>
        <v>4</v>
      </c>
      <c r="AZ22" s="113">
        <f t="shared" si="9"/>
        <v>31</v>
      </c>
      <c r="BA22" s="113">
        <f t="shared" si="10"/>
        <v>30</v>
      </c>
      <c r="BB22" s="116">
        <v>20000</v>
      </c>
      <c r="BC22" s="119">
        <f>MarchReport[[#This Row],[SALARY]]/MarchReport[[#This Row],[PAID DAYS]]</f>
        <v>666.66666666666663</v>
      </c>
      <c r="BD22" s="121">
        <f>MarchReport[[#This Row],[SALARY]]-MarchReport[[#This Row],[ DEDUCTION]]</f>
        <v>19333.333333333332</v>
      </c>
      <c r="BE22" s="136"/>
      <c r="BF22" s="27"/>
      <c r="BG22" s="27"/>
      <c r="BH22" s="94"/>
      <c r="BI22" s="30"/>
      <c r="BJ22" s="30"/>
      <c r="BK22" s="30"/>
      <c r="BL22" s="30"/>
      <c r="BM22" s="30"/>
      <c r="BN22" s="30"/>
    </row>
    <row r="23" spans="4:66" ht="30" customHeight="1">
      <c r="D23" s="84"/>
      <c r="E23" s="25"/>
      <c r="F23" s="25"/>
      <c r="G23" s="6">
        <v>16</v>
      </c>
      <c r="H23" s="51">
        <v>1016</v>
      </c>
      <c r="I23" s="7" t="s">
        <v>16</v>
      </c>
      <c r="J23" s="6">
        <f t="shared" si="6"/>
        <v>4</v>
      </c>
      <c r="K23" s="51" t="s">
        <v>38</v>
      </c>
      <c r="L23" s="51" t="s">
        <v>38</v>
      </c>
      <c r="M23" s="51" t="s">
        <v>38</v>
      </c>
      <c r="N23" s="51" t="s">
        <v>38</v>
      </c>
      <c r="O23" s="51" t="str">
        <f t="shared" si="2"/>
        <v>Wo</v>
      </c>
      <c r="P23" s="51" t="s">
        <v>38</v>
      </c>
      <c r="Q23" s="51" t="s">
        <v>38</v>
      </c>
      <c r="R23" s="51" t="s">
        <v>40</v>
      </c>
      <c r="S23" s="51" t="s">
        <v>38</v>
      </c>
      <c r="T23" s="51" t="s">
        <v>38</v>
      </c>
      <c r="U23" s="51" t="s">
        <v>38</v>
      </c>
      <c r="V23" s="51" t="str">
        <f t="shared" si="2"/>
        <v>Wo</v>
      </c>
      <c r="W23" s="51" t="s">
        <v>38</v>
      </c>
      <c r="X23" s="51" t="s">
        <v>38</v>
      </c>
      <c r="Y23" s="51" t="s">
        <v>38</v>
      </c>
      <c r="Z23" s="51" t="s">
        <v>40</v>
      </c>
      <c r="AA23" s="51" t="s">
        <v>38</v>
      </c>
      <c r="AB23" s="51" t="s">
        <v>38</v>
      </c>
      <c r="AC23" s="145" t="str">
        <f t="shared" si="2"/>
        <v>Wo</v>
      </c>
      <c r="AD23" s="146" t="s">
        <v>38</v>
      </c>
      <c r="AE23" s="146" t="s">
        <v>38</v>
      </c>
      <c r="AF23" s="146" t="s">
        <v>40</v>
      </c>
      <c r="AG23" s="146" t="s">
        <v>38</v>
      </c>
      <c r="AH23" s="146" t="s">
        <v>38</v>
      </c>
      <c r="AI23" s="146" t="s">
        <v>38</v>
      </c>
      <c r="AJ23" s="146" t="str">
        <f t="shared" si="2"/>
        <v>Wo</v>
      </c>
      <c r="AK23" s="146" t="s">
        <v>38</v>
      </c>
      <c r="AL23" s="146" t="s">
        <v>39</v>
      </c>
      <c r="AM23" s="146" t="s">
        <v>38</v>
      </c>
      <c r="AN23" s="146" t="s">
        <v>40</v>
      </c>
      <c r="AO23" s="43" t="s">
        <v>38</v>
      </c>
      <c r="AP23" s="95"/>
      <c r="AQ23" s="28"/>
      <c r="AR23" s="7">
        <v>16</v>
      </c>
      <c r="AS23" s="107">
        <v>1016</v>
      </c>
      <c r="AT23" s="7" t="str">
        <f t="shared" si="3"/>
        <v>March</v>
      </c>
      <c r="AU23" s="11" t="s">
        <v>16</v>
      </c>
      <c r="AV23" s="110">
        <f t="shared" si="7"/>
        <v>23</v>
      </c>
      <c r="AW23" s="110">
        <f t="shared" si="4"/>
        <v>1</v>
      </c>
      <c r="AX23" s="110">
        <f t="shared" si="5"/>
        <v>4</v>
      </c>
      <c r="AY23" s="110">
        <f t="shared" si="8"/>
        <v>4</v>
      </c>
      <c r="AZ23" s="113">
        <f t="shared" si="9"/>
        <v>31</v>
      </c>
      <c r="BA23" s="113">
        <f t="shared" si="10"/>
        <v>30</v>
      </c>
      <c r="BB23" s="116">
        <v>56000</v>
      </c>
      <c r="BC23" s="119">
        <f>MarchReport[[#This Row],[SALARY]]/MarchReport[[#This Row],[PAID DAYS]]</f>
        <v>1866.6666666666667</v>
      </c>
      <c r="BD23" s="121">
        <f>MarchReport[[#This Row],[SALARY]]-MarchReport[[#This Row],[ DEDUCTION]]</f>
        <v>54133.333333333336</v>
      </c>
      <c r="BE23" s="136"/>
      <c r="BF23" s="27"/>
      <c r="BG23" s="27"/>
      <c r="BH23" s="94"/>
      <c r="BI23" s="30"/>
      <c r="BJ23" s="30"/>
      <c r="BK23" s="30"/>
      <c r="BL23" s="30"/>
      <c r="BM23" s="30"/>
      <c r="BN23" s="30"/>
    </row>
    <row r="24" spans="4:66" ht="30" customHeight="1">
      <c r="D24" s="84"/>
      <c r="E24" s="25"/>
      <c r="F24" s="25"/>
      <c r="G24" s="6">
        <v>17</v>
      </c>
      <c r="H24" s="51">
        <v>1017</v>
      </c>
      <c r="I24" s="7" t="s">
        <v>17</v>
      </c>
      <c r="J24" s="6">
        <f t="shared" si="6"/>
        <v>4</v>
      </c>
      <c r="K24" s="51" t="s">
        <v>38</v>
      </c>
      <c r="L24" s="51" t="s">
        <v>38</v>
      </c>
      <c r="M24" s="51" t="s">
        <v>38</v>
      </c>
      <c r="N24" s="51" t="s">
        <v>39</v>
      </c>
      <c r="O24" s="51" t="str">
        <f t="shared" ref="O24:V27" si="11">IF(O$6="sun","Wo"," ")</f>
        <v>Wo</v>
      </c>
      <c r="P24" s="51" t="s">
        <v>38</v>
      </c>
      <c r="Q24" s="51" t="s">
        <v>38</v>
      </c>
      <c r="R24" s="51" t="s">
        <v>40</v>
      </c>
      <c r="S24" s="51" t="s">
        <v>38</v>
      </c>
      <c r="T24" s="51" t="s">
        <v>38</v>
      </c>
      <c r="U24" s="51" t="s">
        <v>38</v>
      </c>
      <c r="V24" s="51" t="str">
        <f t="shared" si="11"/>
        <v>Wo</v>
      </c>
      <c r="W24" s="51" t="s">
        <v>38</v>
      </c>
      <c r="X24" s="51" t="s">
        <v>38</v>
      </c>
      <c r="Y24" s="51" t="s">
        <v>38</v>
      </c>
      <c r="Z24" s="51" t="s">
        <v>40</v>
      </c>
      <c r="AA24" s="51" t="s">
        <v>38</v>
      </c>
      <c r="AB24" s="51" t="s">
        <v>38</v>
      </c>
      <c r="AC24" s="145" t="str">
        <f t="shared" ref="AC24:AJ27" si="12">IF(AC$6="sun","Wo"," ")</f>
        <v>Wo</v>
      </c>
      <c r="AD24" s="146" t="s">
        <v>38</v>
      </c>
      <c r="AE24" s="146" t="s">
        <v>38</v>
      </c>
      <c r="AF24" s="146" t="s">
        <v>40</v>
      </c>
      <c r="AG24" s="146" t="s">
        <v>38</v>
      </c>
      <c r="AH24" s="146" t="s">
        <v>38</v>
      </c>
      <c r="AI24" s="146" t="s">
        <v>38</v>
      </c>
      <c r="AJ24" s="146" t="str">
        <f t="shared" si="12"/>
        <v>Wo</v>
      </c>
      <c r="AK24" s="146" t="s">
        <v>38</v>
      </c>
      <c r="AL24" s="146" t="s">
        <v>38</v>
      </c>
      <c r="AM24" s="146" t="s">
        <v>38</v>
      </c>
      <c r="AN24" s="146" t="s">
        <v>40</v>
      </c>
      <c r="AO24" s="43" t="s">
        <v>38</v>
      </c>
      <c r="AP24" s="95"/>
      <c r="AQ24" s="28"/>
      <c r="AR24" s="7">
        <v>17</v>
      </c>
      <c r="AS24" s="107">
        <v>1017</v>
      </c>
      <c r="AT24" s="7" t="str">
        <f t="shared" si="3"/>
        <v>March</v>
      </c>
      <c r="AU24" s="11" t="s">
        <v>17</v>
      </c>
      <c r="AV24" s="110">
        <f t="shared" si="7"/>
        <v>23</v>
      </c>
      <c r="AW24" s="110">
        <f t="shared" si="4"/>
        <v>1</v>
      </c>
      <c r="AX24" s="110">
        <f t="shared" si="5"/>
        <v>4</v>
      </c>
      <c r="AY24" s="110">
        <f t="shared" si="8"/>
        <v>4</v>
      </c>
      <c r="AZ24" s="113">
        <f t="shared" si="9"/>
        <v>31</v>
      </c>
      <c r="BA24" s="113">
        <f t="shared" si="10"/>
        <v>30</v>
      </c>
      <c r="BB24" s="116">
        <v>35000</v>
      </c>
      <c r="BC24" s="119">
        <f>MarchReport[[#This Row],[SALARY]]/MarchReport[[#This Row],[PAID DAYS]]</f>
        <v>1166.6666666666667</v>
      </c>
      <c r="BD24" s="121">
        <f>MarchReport[[#This Row],[SALARY]]-MarchReport[[#This Row],[ DEDUCTION]]</f>
        <v>33833.333333333336</v>
      </c>
      <c r="BE24" s="136"/>
      <c r="BF24" s="27"/>
      <c r="BG24" s="27"/>
      <c r="BH24" s="94"/>
      <c r="BI24" s="30"/>
      <c r="BJ24" s="30"/>
      <c r="BK24" s="30"/>
      <c r="BL24" s="30"/>
      <c r="BM24" s="30"/>
      <c r="BN24" s="30"/>
    </row>
    <row r="25" spans="4:66" ht="30" customHeight="1">
      <c r="D25" s="84"/>
      <c r="E25" s="25"/>
      <c r="F25" s="25"/>
      <c r="G25" s="6">
        <v>18</v>
      </c>
      <c r="H25" s="51">
        <v>1018</v>
      </c>
      <c r="I25" s="7" t="s">
        <v>18</v>
      </c>
      <c r="J25" s="6">
        <f t="shared" si="6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11"/>
        <v>Wo</v>
      </c>
      <c r="P25" s="51" t="s">
        <v>38</v>
      </c>
      <c r="Q25" s="51" t="s">
        <v>38</v>
      </c>
      <c r="R25" s="51" t="s">
        <v>40</v>
      </c>
      <c r="S25" s="51" t="s">
        <v>38</v>
      </c>
      <c r="T25" s="51" t="s">
        <v>38</v>
      </c>
      <c r="U25" s="51" t="s">
        <v>38</v>
      </c>
      <c r="V25" s="51" t="str">
        <f t="shared" si="11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38</v>
      </c>
      <c r="AB25" s="51" t="s">
        <v>38</v>
      </c>
      <c r="AC25" s="145" t="str">
        <f t="shared" si="12"/>
        <v>Wo</v>
      </c>
      <c r="AD25" s="146" t="s">
        <v>38</v>
      </c>
      <c r="AE25" s="146" t="s">
        <v>38</v>
      </c>
      <c r="AF25" s="146" t="s">
        <v>40</v>
      </c>
      <c r="AG25" s="146" t="s">
        <v>38</v>
      </c>
      <c r="AH25" s="146" t="s">
        <v>38</v>
      </c>
      <c r="AI25" s="146" t="s">
        <v>38</v>
      </c>
      <c r="AJ25" s="146" t="str">
        <f t="shared" si="12"/>
        <v>Wo</v>
      </c>
      <c r="AK25" s="146" t="s">
        <v>38</v>
      </c>
      <c r="AL25" s="146" t="s">
        <v>38</v>
      </c>
      <c r="AM25" s="146" t="s">
        <v>39</v>
      </c>
      <c r="AN25" s="146" t="s">
        <v>40</v>
      </c>
      <c r="AO25" s="43" t="s">
        <v>38</v>
      </c>
      <c r="AP25" s="95"/>
      <c r="AQ25" s="28"/>
      <c r="AR25" s="7">
        <v>18</v>
      </c>
      <c r="AS25" s="107">
        <v>1018</v>
      </c>
      <c r="AT25" s="7" t="str">
        <f t="shared" si="3"/>
        <v>March</v>
      </c>
      <c r="AU25" s="11" t="s">
        <v>18</v>
      </c>
      <c r="AV25" s="110">
        <f t="shared" si="7"/>
        <v>23</v>
      </c>
      <c r="AW25" s="110">
        <f t="shared" si="4"/>
        <v>1</v>
      </c>
      <c r="AX25" s="110">
        <f t="shared" si="5"/>
        <v>4</v>
      </c>
      <c r="AY25" s="110">
        <f t="shared" si="8"/>
        <v>4</v>
      </c>
      <c r="AZ25" s="113">
        <f t="shared" si="9"/>
        <v>31</v>
      </c>
      <c r="BA25" s="113">
        <f t="shared" si="10"/>
        <v>30</v>
      </c>
      <c r="BB25" s="116">
        <v>12000</v>
      </c>
      <c r="BC25" s="119">
        <f>MarchReport[[#This Row],[SALARY]]/MarchReport[[#This Row],[PAID DAYS]]</f>
        <v>400</v>
      </c>
      <c r="BD25" s="121">
        <f>MarchReport[[#This Row],[SALARY]]-MarchReport[[#This Row],[ DEDUCTION]]</f>
        <v>11600</v>
      </c>
      <c r="BE25" s="136"/>
      <c r="BF25" s="27"/>
      <c r="BG25" s="27"/>
      <c r="BH25" s="94"/>
      <c r="BI25" s="30"/>
      <c r="BJ25" s="30"/>
      <c r="BK25" s="30"/>
      <c r="BL25" s="30"/>
      <c r="BM25" s="30"/>
      <c r="BN25" s="30"/>
    </row>
    <row r="26" spans="4:66" ht="30" customHeight="1">
      <c r="D26" s="84"/>
      <c r="E26" s="25"/>
      <c r="F26" s="25"/>
      <c r="G26" s="6">
        <v>19</v>
      </c>
      <c r="H26" s="51">
        <v>1019</v>
      </c>
      <c r="I26" s="7" t="s">
        <v>19</v>
      </c>
      <c r="J26" s="6">
        <f t="shared" si="6"/>
        <v>4</v>
      </c>
      <c r="K26" s="51" t="s">
        <v>38</v>
      </c>
      <c r="L26" s="51" t="s">
        <v>38</v>
      </c>
      <c r="M26" s="51" t="s">
        <v>38</v>
      </c>
      <c r="N26" s="51" t="s">
        <v>38</v>
      </c>
      <c r="O26" s="51" t="str">
        <f t="shared" si="11"/>
        <v>Wo</v>
      </c>
      <c r="P26" s="51" t="s">
        <v>38</v>
      </c>
      <c r="Q26" s="51" t="s">
        <v>38</v>
      </c>
      <c r="R26" s="51" t="s">
        <v>40</v>
      </c>
      <c r="S26" s="51" t="s">
        <v>38</v>
      </c>
      <c r="T26" s="51" t="s">
        <v>38</v>
      </c>
      <c r="U26" s="51" t="s">
        <v>38</v>
      </c>
      <c r="V26" s="51" t="str">
        <f t="shared" si="11"/>
        <v>Wo</v>
      </c>
      <c r="W26" s="51" t="s">
        <v>38</v>
      </c>
      <c r="X26" s="51" t="s">
        <v>38</v>
      </c>
      <c r="Y26" s="51" t="s">
        <v>38</v>
      </c>
      <c r="Z26" s="51" t="s">
        <v>40</v>
      </c>
      <c r="AA26" s="51" t="s">
        <v>38</v>
      </c>
      <c r="AB26" s="51" t="s">
        <v>38</v>
      </c>
      <c r="AC26" s="145" t="str">
        <f t="shared" si="12"/>
        <v>Wo</v>
      </c>
      <c r="AD26" s="146" t="s">
        <v>38</v>
      </c>
      <c r="AE26" s="146" t="s">
        <v>38</v>
      </c>
      <c r="AF26" s="146" t="s">
        <v>40</v>
      </c>
      <c r="AG26" s="146" t="s">
        <v>38</v>
      </c>
      <c r="AH26" s="146" t="s">
        <v>38</v>
      </c>
      <c r="AI26" s="146" t="s">
        <v>38</v>
      </c>
      <c r="AJ26" s="146" t="str">
        <f t="shared" si="12"/>
        <v>Wo</v>
      </c>
      <c r="AK26" s="146" t="s">
        <v>38</v>
      </c>
      <c r="AL26" s="146" t="s">
        <v>38</v>
      </c>
      <c r="AM26" s="146" t="s">
        <v>38</v>
      </c>
      <c r="AN26" s="146" t="s">
        <v>40</v>
      </c>
      <c r="AO26" s="43" t="s">
        <v>38</v>
      </c>
      <c r="AP26" s="95"/>
      <c r="AQ26" s="28"/>
      <c r="AR26" s="7">
        <v>19</v>
      </c>
      <c r="AS26" s="107">
        <v>1019</v>
      </c>
      <c r="AT26" s="7" t="str">
        <f t="shared" si="3"/>
        <v>March</v>
      </c>
      <c r="AU26" s="11" t="s">
        <v>19</v>
      </c>
      <c r="AV26" s="110">
        <f t="shared" si="7"/>
        <v>23</v>
      </c>
      <c r="AW26" s="110">
        <f t="shared" si="4"/>
        <v>0</v>
      </c>
      <c r="AX26" s="110">
        <f t="shared" si="5"/>
        <v>4</v>
      </c>
      <c r="AY26" s="110">
        <f t="shared" si="8"/>
        <v>4</v>
      </c>
      <c r="AZ26" s="113">
        <f t="shared" si="9"/>
        <v>31</v>
      </c>
      <c r="BA26" s="113">
        <f t="shared" si="10"/>
        <v>31</v>
      </c>
      <c r="BB26" s="116">
        <v>19000</v>
      </c>
      <c r="BC26" s="119">
        <f>MarchReport[[#This Row],[SALARY]]/MarchReport[[#This Row],[PAID DAYS]]</f>
        <v>612.90322580645159</v>
      </c>
      <c r="BD26" s="121">
        <f>MarchReport[[#This Row],[SALARY]]-MarchReport[[#This Row],[ DEDUCTION]]</f>
        <v>18387.096774193549</v>
      </c>
      <c r="BE26" s="136"/>
      <c r="BF26" s="27"/>
      <c r="BG26" s="27"/>
      <c r="BH26" s="94"/>
      <c r="BI26" s="30"/>
      <c r="BJ26" s="30"/>
      <c r="BK26" s="30"/>
      <c r="BL26" s="30"/>
      <c r="BM26" s="30"/>
      <c r="BN26" s="30"/>
    </row>
    <row r="27" spans="4:66" ht="30" customHeight="1" thickBot="1">
      <c r="D27" s="84"/>
      <c r="E27" s="25"/>
      <c r="F27" s="25"/>
      <c r="G27" s="8">
        <v>20</v>
      </c>
      <c r="H27" s="9">
        <v>1020</v>
      </c>
      <c r="I27" s="10" t="s">
        <v>20</v>
      </c>
      <c r="J27" s="8">
        <f t="shared" si="6"/>
        <v>4</v>
      </c>
      <c r="K27" s="9" t="s">
        <v>38</v>
      </c>
      <c r="L27" s="9" t="s">
        <v>38</v>
      </c>
      <c r="M27" s="9" t="s">
        <v>38</v>
      </c>
      <c r="N27" s="9" t="s">
        <v>38</v>
      </c>
      <c r="O27" s="9" t="str">
        <f t="shared" si="11"/>
        <v>Wo</v>
      </c>
      <c r="P27" s="9" t="s">
        <v>38</v>
      </c>
      <c r="Q27" s="9" t="s">
        <v>38</v>
      </c>
      <c r="R27" s="9" t="s">
        <v>40</v>
      </c>
      <c r="S27" s="9" t="s">
        <v>38</v>
      </c>
      <c r="T27" s="9" t="s">
        <v>38</v>
      </c>
      <c r="U27" s="9" t="s">
        <v>38</v>
      </c>
      <c r="V27" s="9" t="str">
        <f t="shared" si="11"/>
        <v>Wo</v>
      </c>
      <c r="W27" s="9" t="s">
        <v>38</v>
      </c>
      <c r="X27" s="9" t="s">
        <v>38</v>
      </c>
      <c r="Y27" s="9" t="s">
        <v>38</v>
      </c>
      <c r="Z27" s="9" t="s">
        <v>40</v>
      </c>
      <c r="AA27" s="9" t="s">
        <v>38</v>
      </c>
      <c r="AB27" s="9" t="s">
        <v>38</v>
      </c>
      <c r="AC27" s="45" t="str">
        <f t="shared" si="12"/>
        <v>Wo</v>
      </c>
      <c r="AD27" s="47" t="s">
        <v>38</v>
      </c>
      <c r="AE27" s="47" t="s">
        <v>38</v>
      </c>
      <c r="AF27" s="47" t="s">
        <v>40</v>
      </c>
      <c r="AG27" s="47" t="s">
        <v>38</v>
      </c>
      <c r="AH27" s="47" t="s">
        <v>38</v>
      </c>
      <c r="AI27" s="47" t="s">
        <v>38</v>
      </c>
      <c r="AJ27" s="47" t="str">
        <f t="shared" si="12"/>
        <v>Wo</v>
      </c>
      <c r="AK27" s="47" t="s">
        <v>38</v>
      </c>
      <c r="AL27" s="47" t="s">
        <v>38</v>
      </c>
      <c r="AM27" s="47" t="s">
        <v>38</v>
      </c>
      <c r="AN27" s="47" t="s">
        <v>40</v>
      </c>
      <c r="AO27" s="48" t="s">
        <v>39</v>
      </c>
      <c r="AP27" s="95"/>
      <c r="AQ27" s="28"/>
      <c r="AR27" s="10">
        <v>20</v>
      </c>
      <c r="AS27" s="108">
        <v>1020</v>
      </c>
      <c r="AT27" s="10" t="str">
        <f t="shared" si="3"/>
        <v>March</v>
      </c>
      <c r="AU27" s="10" t="s">
        <v>20</v>
      </c>
      <c r="AV27" s="111">
        <f t="shared" si="7"/>
        <v>23</v>
      </c>
      <c r="AW27" s="111">
        <f t="shared" si="4"/>
        <v>1</v>
      </c>
      <c r="AX27" s="111">
        <f t="shared" si="5"/>
        <v>4</v>
      </c>
      <c r="AY27" s="111">
        <f t="shared" si="8"/>
        <v>4</v>
      </c>
      <c r="AZ27" s="114">
        <f t="shared" si="9"/>
        <v>31</v>
      </c>
      <c r="BA27" s="114">
        <f t="shared" si="10"/>
        <v>30</v>
      </c>
      <c r="BB27" s="117">
        <v>21000</v>
      </c>
      <c r="BC27" s="120">
        <f>MarchReport[[#This Row],[SALARY]]/MarchReport[[#This Row],[PAID DAYS]]</f>
        <v>700</v>
      </c>
      <c r="BD27" s="121">
        <f>MarchReport[[#This Row],[SALARY]]-MarchReport[[#This Row],[ DEDUCTION]]</f>
        <v>20300</v>
      </c>
      <c r="BE27" s="137"/>
      <c r="BF27" s="27"/>
      <c r="BG27" s="27"/>
      <c r="BH27" s="94"/>
      <c r="BI27" s="30"/>
      <c r="BJ27" s="30"/>
      <c r="BK27" s="30"/>
      <c r="BL27" s="30"/>
      <c r="BM27" s="30"/>
      <c r="BN27" s="30"/>
    </row>
    <row r="28" spans="4:66" ht="30" customHeight="1">
      <c r="D28" s="8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93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7"/>
      <c r="BF28" s="27"/>
      <c r="BG28" s="27"/>
      <c r="BH28" s="94"/>
      <c r="BI28" s="30"/>
      <c r="BJ28" s="30"/>
      <c r="BK28" s="30"/>
      <c r="BL28" s="30"/>
      <c r="BM28" s="30"/>
      <c r="BN28" s="30"/>
    </row>
    <row r="29" spans="4:66" ht="30" customHeight="1">
      <c r="D29" s="84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93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7"/>
      <c r="BF29" s="27"/>
      <c r="BG29" s="27"/>
      <c r="BH29" s="94"/>
      <c r="BI29" s="30"/>
      <c r="BJ29" s="30"/>
      <c r="BK29" s="30"/>
      <c r="BL29" s="30"/>
      <c r="BM29" s="30"/>
      <c r="BN29" s="30"/>
    </row>
    <row r="30" spans="4:66" ht="30" customHeight="1">
      <c r="D30" s="84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93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7"/>
      <c r="BF30" s="27"/>
      <c r="BG30" s="27"/>
      <c r="BH30" s="94"/>
      <c r="BI30" s="30"/>
      <c r="BJ30" s="30"/>
      <c r="BK30" s="30"/>
      <c r="BL30" s="30"/>
      <c r="BM30" s="30"/>
      <c r="BN30" s="30"/>
    </row>
    <row r="31" spans="4:66" ht="30" customHeight="1">
      <c r="D31" s="84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93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7"/>
      <c r="BF31" s="27"/>
      <c r="BG31" s="27"/>
      <c r="BH31" s="94"/>
      <c r="BI31" s="30"/>
      <c r="BJ31" s="30"/>
      <c r="BK31" s="30"/>
      <c r="BL31" s="30"/>
      <c r="BM31" s="30"/>
      <c r="BN31" s="30"/>
    </row>
    <row r="32" spans="4:66" ht="30" customHeight="1">
      <c r="D32" s="84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93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7"/>
      <c r="BF32" s="27"/>
      <c r="BG32" s="27"/>
      <c r="BH32" s="94"/>
      <c r="BI32" s="30"/>
      <c r="BJ32" s="30"/>
      <c r="BK32" s="30"/>
      <c r="BL32" s="30"/>
      <c r="BM32" s="30"/>
      <c r="BN32" s="30"/>
    </row>
    <row r="33" spans="1:66" ht="30" customHeight="1">
      <c r="D33" s="8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93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7"/>
      <c r="BF33" s="27"/>
      <c r="BG33" s="27"/>
      <c r="BH33" s="94"/>
      <c r="BI33" s="30"/>
      <c r="BJ33" s="30"/>
      <c r="BK33" s="30"/>
      <c r="BL33" s="30"/>
      <c r="BM33" s="30"/>
      <c r="BN33" s="30"/>
    </row>
    <row r="34" spans="1:66" ht="30" customHeight="1">
      <c r="D34" s="84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93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7"/>
      <c r="BF34" s="27"/>
      <c r="BG34" s="27"/>
      <c r="BH34" s="94"/>
      <c r="BI34" s="30"/>
      <c r="BJ34" s="30"/>
      <c r="BK34" s="30"/>
      <c r="BL34" s="30"/>
      <c r="BM34" s="30"/>
      <c r="BN34" s="30"/>
    </row>
    <row r="35" spans="1:66" ht="30" customHeight="1">
      <c r="D35" s="8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93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7"/>
      <c r="BF35" s="27"/>
      <c r="BG35" s="27"/>
      <c r="BH35" s="94"/>
      <c r="BI35" s="30"/>
      <c r="BJ35" s="30"/>
      <c r="BK35" s="30"/>
      <c r="BL35" s="30"/>
      <c r="BM35" s="30"/>
      <c r="BN35" s="30"/>
    </row>
    <row r="36" spans="1:66" ht="30" customHeight="1" thickBot="1">
      <c r="D36" s="85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96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8"/>
      <c r="BF36" s="98"/>
      <c r="BG36" s="98"/>
      <c r="BH36" s="99"/>
      <c r="BI36" s="30"/>
      <c r="BJ36" s="30"/>
      <c r="BK36" s="30"/>
      <c r="BL36" s="30"/>
      <c r="BM36" s="30"/>
      <c r="BN36" s="30"/>
    </row>
    <row r="37" spans="1:66" ht="30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30"/>
      <c r="BF37" s="30"/>
      <c r="BG37" s="30"/>
      <c r="BH37" s="30"/>
      <c r="BI37" s="30"/>
      <c r="BJ37" s="30"/>
      <c r="BK37" s="30"/>
      <c r="BL37" s="30"/>
      <c r="BM37" s="30"/>
      <c r="BN37" s="30"/>
    </row>
    <row r="38" spans="1:66" ht="30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30"/>
      <c r="BF38" s="30"/>
      <c r="BG38" s="30"/>
      <c r="BH38" s="30"/>
      <c r="BI38" s="30"/>
      <c r="BJ38" s="30"/>
      <c r="BK38" s="30"/>
      <c r="BL38" s="30"/>
      <c r="BM38" s="30"/>
      <c r="BN38" s="30"/>
    </row>
    <row r="39" spans="1:66" ht="30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30"/>
      <c r="BF39" s="30"/>
      <c r="BG39" s="30"/>
      <c r="BH39" s="30"/>
      <c r="BI39" s="30"/>
      <c r="BJ39" s="30"/>
      <c r="BK39" s="30"/>
      <c r="BL39" s="30"/>
      <c r="BM39" s="30"/>
      <c r="BN39" s="30"/>
    </row>
    <row r="40" spans="1:66" ht="30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30"/>
      <c r="BF40" s="30"/>
      <c r="BG40" s="30"/>
      <c r="BH40" s="30"/>
      <c r="BI40" s="30"/>
      <c r="BJ40" s="30"/>
      <c r="BK40" s="30"/>
      <c r="BL40" s="30"/>
      <c r="BM40" s="30"/>
      <c r="BN40" s="30"/>
    </row>
    <row r="41" spans="1:66" ht="30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30"/>
      <c r="BF41" s="30"/>
      <c r="BG41" s="30"/>
      <c r="BH41" s="30"/>
      <c r="BI41" s="30"/>
      <c r="BJ41" s="30"/>
      <c r="BK41" s="30"/>
      <c r="BL41" s="30"/>
      <c r="BM41" s="30"/>
      <c r="BN41" s="30"/>
    </row>
    <row r="42" spans="1:66" ht="30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30"/>
      <c r="BF42" s="30"/>
      <c r="BG42" s="30"/>
      <c r="BH42" s="30"/>
      <c r="BI42" s="30"/>
      <c r="BJ42" s="30"/>
      <c r="BK42" s="30"/>
      <c r="BL42" s="30"/>
      <c r="BM42" s="30"/>
      <c r="BN42" s="30"/>
    </row>
    <row r="43" spans="1:66" ht="30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30"/>
      <c r="BF43" s="30"/>
      <c r="BG43" s="30"/>
      <c r="BH43" s="30"/>
      <c r="BI43" s="30"/>
      <c r="BJ43" s="30"/>
      <c r="BK43" s="30"/>
      <c r="BL43" s="30"/>
      <c r="BM43" s="30"/>
      <c r="BN43" s="30"/>
    </row>
    <row r="44" spans="1:66" ht="30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30"/>
      <c r="BF44" s="30"/>
      <c r="BG44" s="30"/>
      <c r="BH44" s="30"/>
      <c r="BI44" s="30"/>
      <c r="BJ44" s="30"/>
      <c r="BK44" s="30"/>
      <c r="BL44" s="30"/>
      <c r="BM44" s="30"/>
      <c r="BN44" s="30"/>
    </row>
    <row r="45" spans="1:66" ht="30" customHeight="1">
      <c r="A45" s="30"/>
      <c r="B45" s="30"/>
      <c r="C45" s="30"/>
      <c r="D45" s="30"/>
      <c r="E45" s="30"/>
      <c r="AP45" s="30"/>
      <c r="AQ45" s="49"/>
      <c r="BF45" s="30"/>
      <c r="BG45" s="30"/>
      <c r="BH45" s="30"/>
      <c r="BI45" s="30"/>
      <c r="BJ45" s="30"/>
      <c r="BK45" s="30"/>
      <c r="BL45" s="30"/>
      <c r="BM45" s="30"/>
      <c r="BN45" s="30"/>
    </row>
    <row r="46" spans="1:66" ht="30" customHeight="1">
      <c r="AP46" s="30"/>
      <c r="AQ46" s="49"/>
      <c r="BF46" s="30"/>
      <c r="BG46" s="30"/>
      <c r="BH46" s="30"/>
      <c r="BI46" s="30"/>
      <c r="BJ46" s="30"/>
      <c r="BK46" s="30"/>
      <c r="BL46" s="30"/>
      <c r="BM46" s="30"/>
      <c r="BN46" s="30"/>
    </row>
    <row r="47" spans="1:66" ht="30" customHeight="1">
      <c r="AP47" s="30"/>
      <c r="AQ47" s="49"/>
      <c r="BF47" s="30"/>
      <c r="BG47" s="30"/>
      <c r="BH47" s="30"/>
      <c r="BI47" s="30"/>
      <c r="BJ47" s="30"/>
      <c r="BK47" s="30"/>
      <c r="BL47" s="30"/>
      <c r="BM47" s="30"/>
      <c r="BN47" s="30"/>
    </row>
    <row r="48" spans="1:66" ht="30" customHeight="1">
      <c r="AP48" s="30"/>
      <c r="AQ48" s="49"/>
      <c r="BF48" s="30"/>
      <c r="BG48" s="30"/>
      <c r="BH48" s="30"/>
      <c r="BI48" s="30"/>
      <c r="BJ48" s="30"/>
      <c r="BK48" s="30"/>
      <c r="BL48" s="30"/>
      <c r="BM48" s="30"/>
      <c r="BN48" s="30"/>
    </row>
    <row r="49" spans="42:66" ht="30" customHeight="1">
      <c r="AP49" s="30"/>
      <c r="AQ49" s="49"/>
      <c r="BF49" s="30"/>
      <c r="BG49" s="30"/>
      <c r="BH49" s="30"/>
      <c r="BI49" s="30"/>
      <c r="BJ49" s="30"/>
      <c r="BK49" s="30"/>
      <c r="BL49" s="30"/>
      <c r="BM49" s="30"/>
      <c r="BN49" s="30"/>
    </row>
    <row r="50" spans="42:66" ht="30" customHeight="1">
      <c r="AP50" s="30"/>
      <c r="AQ50" s="49"/>
      <c r="BF50" s="30"/>
      <c r="BG50" s="30"/>
      <c r="BH50" s="30"/>
      <c r="BI50" s="30"/>
      <c r="BJ50" s="30"/>
      <c r="BK50" s="30"/>
      <c r="BL50" s="30"/>
      <c r="BM50" s="30"/>
      <c r="BN50" s="30"/>
    </row>
    <row r="51" spans="42:66" ht="30" customHeight="1">
      <c r="AP51" s="30"/>
      <c r="AQ51" s="49"/>
    </row>
    <row r="52" spans="42:66" ht="30" customHeight="1">
      <c r="AP52" s="30"/>
      <c r="AQ52" s="49"/>
    </row>
    <row r="53" spans="42:66" ht="30" customHeight="1">
      <c r="AP53" s="30"/>
      <c r="AQ53" s="49"/>
    </row>
    <row r="54" spans="42:66" ht="30" customHeight="1">
      <c r="AP54" s="30"/>
      <c r="AQ54" s="49"/>
    </row>
    <row r="55" spans="42:66" ht="30" customHeight="1">
      <c r="AP55" s="30"/>
      <c r="AQ55" s="49"/>
    </row>
    <row r="56" spans="42:66" ht="30" customHeight="1">
      <c r="AP56" s="30"/>
      <c r="AQ56" s="49"/>
    </row>
    <row r="57" spans="42:66" ht="30" customHeight="1">
      <c r="AP57" s="30"/>
      <c r="AQ57" s="49"/>
    </row>
    <row r="58" spans="42:66" ht="30" customHeight="1">
      <c r="AP58" s="30"/>
      <c r="AQ58" s="49"/>
    </row>
    <row r="59" spans="42:66" ht="30" customHeight="1">
      <c r="AP59" s="30"/>
      <c r="AQ59" s="49"/>
    </row>
    <row r="60" spans="42:66" ht="30" customHeight="1">
      <c r="AP60" s="30"/>
      <c r="AQ60" s="49"/>
    </row>
    <row r="61" spans="42:66" ht="30" customHeight="1">
      <c r="AP61" s="30"/>
      <c r="AQ61" s="49"/>
    </row>
    <row r="62" spans="42:66" ht="30" customHeight="1"/>
    <row r="63" spans="42:66" ht="30" customHeight="1"/>
    <row r="64" spans="42:66" ht="30" customHeight="1"/>
    <row r="65" ht="30" customHeight="1"/>
  </sheetData>
  <mergeCells count="1">
    <mergeCell ref="G6:I6"/>
  </mergeCells>
  <conditionalFormatting sqref="J6:AO27">
    <cfRule type="containsText" dxfId="45" priority="5" operator="containsText" text="WO">
      <formula>NOT(ISERROR(SEARCH("WO",J6)))</formula>
    </cfRule>
  </conditionalFormatting>
  <conditionalFormatting sqref="K8:AO27">
    <cfRule type="containsText" dxfId="44" priority="1" operator="containsText" text="L">
      <formula>NOT(ISERROR(SEARCH("L",K8)))</formula>
    </cfRule>
    <cfRule type="containsText" dxfId="43" priority="2" operator="containsText" text="L">
      <formula>NOT(ISERROR(SEARCH("L",K8)))</formula>
    </cfRule>
    <cfRule type="containsText" dxfId="42" priority="3" operator="containsText" text="A">
      <formula>NOT(ISERROR(SEARCH("A",K8)))</formula>
    </cfRule>
    <cfRule type="containsText" dxfId="41" priority="4" operator="containsText" text="P">
      <formula>NOT(ISERROR(SEARCH("P",K8)))</formula>
    </cfRule>
  </conditionalFormatting>
  <dataValidations count="1">
    <dataValidation type="list" allowBlank="1" showInputMessage="1" showErrorMessage="1" sqref="AD8:AI27 K8:N27 P8:U27 W8:AB27 AK8:AO27" xr:uid="{0C042805-D2CF-408A-ADB5-98071A4E5123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1A184F-E159-4327-82C5-636448782E46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E834182-6BA8-4155-A8B8-A4B3293FFF58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MARCH!AV8:AY8</xm:f>
              <xm:sqref>BE8</xm:sqref>
            </x14:sparkline>
            <x14:sparkline>
              <xm:f>MARCH!AV9:AY9</xm:f>
              <xm:sqref>BE9</xm:sqref>
            </x14:sparkline>
            <x14:sparkline>
              <xm:f>MARCH!AV10:AY10</xm:f>
              <xm:sqref>BE10</xm:sqref>
            </x14:sparkline>
            <x14:sparkline>
              <xm:f>MARCH!AV11:AY11</xm:f>
              <xm:sqref>BE11</xm:sqref>
            </x14:sparkline>
            <x14:sparkline>
              <xm:f>MARCH!AV12:AY12</xm:f>
              <xm:sqref>BE12</xm:sqref>
            </x14:sparkline>
            <x14:sparkline>
              <xm:f>MARCH!AV13:AY13</xm:f>
              <xm:sqref>BE13</xm:sqref>
            </x14:sparkline>
            <x14:sparkline>
              <xm:f>MARCH!AV14:AY14</xm:f>
              <xm:sqref>BE14</xm:sqref>
            </x14:sparkline>
            <x14:sparkline>
              <xm:f>MARCH!AV15:AY15</xm:f>
              <xm:sqref>BE15</xm:sqref>
            </x14:sparkline>
            <x14:sparkline>
              <xm:f>MARCH!AV16:AY16</xm:f>
              <xm:sqref>BE16</xm:sqref>
            </x14:sparkline>
            <x14:sparkline>
              <xm:f>MARCH!AV17:AY17</xm:f>
              <xm:sqref>BE17</xm:sqref>
            </x14:sparkline>
            <x14:sparkline>
              <xm:f>MARCH!AV18:AY18</xm:f>
              <xm:sqref>BE18</xm:sqref>
            </x14:sparkline>
            <x14:sparkline>
              <xm:f>MARCH!AV19:AY19</xm:f>
              <xm:sqref>BE19</xm:sqref>
            </x14:sparkline>
            <x14:sparkline>
              <xm:f>MARCH!AV20:AY20</xm:f>
              <xm:sqref>BE20</xm:sqref>
            </x14:sparkline>
            <x14:sparkline>
              <xm:f>MARCH!AV21:AY21</xm:f>
              <xm:sqref>BE21</xm:sqref>
            </x14:sparkline>
            <x14:sparkline>
              <xm:f>MARCH!AV22:AY22</xm:f>
              <xm:sqref>BE22</xm:sqref>
            </x14:sparkline>
            <x14:sparkline>
              <xm:f>MARCH!AV23:AY23</xm:f>
              <xm:sqref>BE23</xm:sqref>
            </x14:sparkline>
            <x14:sparkline>
              <xm:f>MARCH!AV24:AY24</xm:f>
              <xm:sqref>BE24</xm:sqref>
            </x14:sparkline>
            <x14:sparkline>
              <xm:f>MARCH!AV25:AY25</xm:f>
              <xm:sqref>BE25</xm:sqref>
            </x14:sparkline>
            <x14:sparkline>
              <xm:f>MARCH!AV26:AY26</xm:f>
              <xm:sqref>BE26</xm:sqref>
            </x14:sparkline>
            <x14:sparkline>
              <xm:f>MARCH!AV27:AY27</xm:f>
              <xm:sqref>BE27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2A84-35DF-49D9-B524-0AB523439421}">
  <dimension ref="A1:BM65"/>
  <sheetViews>
    <sheetView topLeftCell="A5" zoomScale="50" zoomScaleNormal="50" workbookViewId="0">
      <selection activeCell="R12" sqref="R12:R27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50" width="15.140625" style="3" customWidth="1"/>
    <col min="51" max="51" width="16" style="3" customWidth="1"/>
    <col min="52" max="53" width="16.85546875" style="3" customWidth="1"/>
    <col min="54" max="54" width="26.85546875" style="3" customWidth="1"/>
    <col min="55" max="55" width="17.7109375" style="3" customWidth="1"/>
    <col min="56" max="56" width="18.5703125" style="3" customWidth="1"/>
    <col min="57" max="57" width="23.42578125" style="2" customWidth="1"/>
    <col min="58" max="16384" width="9.140625" style="2"/>
  </cols>
  <sheetData>
    <row r="1" spans="4:65" ht="30" customHeight="1">
      <c r="AP1" s="69"/>
      <c r="AQ1" s="70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  <c r="BF1" s="73"/>
      <c r="BG1" s="74"/>
      <c r="BH1" s="4"/>
      <c r="BI1" s="4"/>
      <c r="BJ1" s="4"/>
      <c r="BK1" s="4"/>
      <c r="BL1" s="4"/>
      <c r="BM1" s="4"/>
    </row>
    <row r="2" spans="4:65" ht="30" customHeight="1" thickBot="1">
      <c r="AP2" s="75"/>
      <c r="AQ2" s="13"/>
      <c r="BF2" s="14"/>
      <c r="BG2" s="76"/>
      <c r="BH2" s="4"/>
      <c r="BI2" s="4"/>
      <c r="BJ2" s="4"/>
      <c r="BK2" s="4"/>
      <c r="BL2" s="4"/>
      <c r="BM2" s="4"/>
    </row>
    <row r="3" spans="4:65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75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76"/>
      <c r="BH3" s="4"/>
      <c r="BI3" s="4"/>
      <c r="BJ3" s="4"/>
      <c r="BK3" s="4"/>
      <c r="BL3" s="4"/>
      <c r="BM3" s="4"/>
    </row>
    <row r="4" spans="4:65" ht="30" customHeight="1">
      <c r="D4" s="55"/>
      <c r="E4" s="56"/>
      <c r="F4" s="56"/>
      <c r="G4" s="57" t="s">
        <v>24</v>
      </c>
      <c r="H4" s="58"/>
      <c r="I4" s="59">
        <v>45748</v>
      </c>
      <c r="J4" s="60"/>
      <c r="K4" s="57">
        <f>(DATEDIF(I4,O4,"D"))+1</f>
        <v>30</v>
      </c>
      <c r="L4" s="50" t="str">
        <f>TEXT(I4,"MMMM")</f>
        <v>April</v>
      </c>
      <c r="M4" s="57" t="s">
        <v>28</v>
      </c>
      <c r="N4" s="61"/>
      <c r="O4" s="59">
        <f>EOMONTH(I4,0)</f>
        <v>45777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75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76"/>
      <c r="BH4" s="4"/>
      <c r="BI4" s="4"/>
      <c r="BJ4" s="4"/>
      <c r="BK4" s="4"/>
      <c r="BL4" s="4"/>
      <c r="BM4" s="4"/>
    </row>
    <row r="5" spans="4:65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75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76"/>
      <c r="BH5" s="4"/>
      <c r="BI5" s="4"/>
      <c r="BJ5" s="4"/>
      <c r="BK5" s="4"/>
      <c r="BL5" s="4"/>
      <c r="BM5" s="4"/>
    </row>
    <row r="6" spans="4:65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20" t="str">
        <f t="shared" si="0"/>
        <v>Fri</v>
      </c>
      <c r="AP6" s="75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76"/>
      <c r="BH6" s="4"/>
      <c r="BI6" s="4"/>
      <c r="BJ6" s="4"/>
      <c r="BK6" s="4"/>
      <c r="BL6" s="4"/>
      <c r="BM6" s="4"/>
    </row>
    <row r="7" spans="4:65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64">
        <f t="shared" si="1"/>
        <v>45676</v>
      </c>
      <c r="AD7" s="64">
        <f t="shared" si="1"/>
        <v>45677</v>
      </c>
      <c r="AE7" s="64">
        <f t="shared" si="1"/>
        <v>45678</v>
      </c>
      <c r="AF7" s="64">
        <f t="shared" si="1"/>
        <v>45679</v>
      </c>
      <c r="AG7" s="64">
        <f t="shared" si="1"/>
        <v>45680</v>
      </c>
      <c r="AH7" s="64">
        <f t="shared" si="1"/>
        <v>45681</v>
      </c>
      <c r="AI7" s="64">
        <f t="shared" si="1"/>
        <v>45682</v>
      </c>
      <c r="AJ7" s="64">
        <f t="shared" si="1"/>
        <v>45683</v>
      </c>
      <c r="AK7" s="64">
        <f t="shared" si="1"/>
        <v>45684</v>
      </c>
      <c r="AL7" s="64">
        <f t="shared" si="1"/>
        <v>45685</v>
      </c>
      <c r="AM7" s="64">
        <f t="shared" si="1"/>
        <v>45686</v>
      </c>
      <c r="AN7" s="64">
        <f t="shared" si="1"/>
        <v>45687</v>
      </c>
      <c r="AO7" s="23">
        <f t="shared" si="1"/>
        <v>45688</v>
      </c>
      <c r="AP7" s="77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9" t="s">
        <v>41</v>
      </c>
      <c r="BE7" s="138" t="s">
        <v>37</v>
      </c>
      <c r="BF7" s="14"/>
      <c r="BG7" s="76"/>
      <c r="BH7" s="4"/>
      <c r="BI7" s="4"/>
      <c r="BJ7" s="4"/>
      <c r="BK7" s="4"/>
      <c r="BL7" s="4"/>
      <c r="BM7" s="4"/>
    </row>
    <row r="8" spans="4:65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38</v>
      </c>
      <c r="L8" s="51" t="s">
        <v>38</v>
      </c>
      <c r="M8" s="51" t="s">
        <v>38</v>
      </c>
      <c r="N8" s="51" t="s">
        <v>38</v>
      </c>
      <c r="O8" s="51" t="str">
        <f t="shared" ref="O8:AJ23" si="2">IF(O$6="sun","Wo"," ")</f>
        <v>Wo</v>
      </c>
      <c r="P8" s="51" t="s">
        <v>40</v>
      </c>
      <c r="Q8" s="51" t="s">
        <v>38</v>
      </c>
      <c r="R8" s="51" t="s">
        <v>38</v>
      </c>
      <c r="S8" s="51" t="s">
        <v>38</v>
      </c>
      <c r="T8" s="51" t="s">
        <v>38</v>
      </c>
      <c r="U8" s="51" t="s">
        <v>38</v>
      </c>
      <c r="V8" s="51" t="str">
        <f t="shared" si="2"/>
        <v>Wo</v>
      </c>
      <c r="W8" s="51" t="s">
        <v>38</v>
      </c>
      <c r="X8" s="51" t="s">
        <v>39</v>
      </c>
      <c r="Y8" s="51" t="s">
        <v>38</v>
      </c>
      <c r="Z8" s="51" t="s">
        <v>40</v>
      </c>
      <c r="AA8" s="51" t="s">
        <v>38</v>
      </c>
      <c r="AB8" s="51" t="s">
        <v>38</v>
      </c>
      <c r="AC8" s="51" t="str">
        <f t="shared" si="2"/>
        <v>Wo</v>
      </c>
      <c r="AD8" s="65" t="s">
        <v>38</v>
      </c>
      <c r="AE8" s="65" t="s">
        <v>38</v>
      </c>
      <c r="AF8" s="65" t="s">
        <v>40</v>
      </c>
      <c r="AG8" s="65" t="s">
        <v>38</v>
      </c>
      <c r="AH8" s="65" t="s">
        <v>38</v>
      </c>
      <c r="AI8" s="65" t="s">
        <v>38</v>
      </c>
      <c r="AJ8" s="65" t="str">
        <f t="shared" si="2"/>
        <v>Wo</v>
      </c>
      <c r="AK8" s="65" t="s">
        <v>40</v>
      </c>
      <c r="AL8" s="65" t="s">
        <v>38</v>
      </c>
      <c r="AM8" s="65" t="s">
        <v>38</v>
      </c>
      <c r="AN8" s="65" t="s">
        <v>40</v>
      </c>
      <c r="AO8" s="16" t="s">
        <v>39</v>
      </c>
      <c r="AP8" s="77"/>
      <c r="AQ8" s="13"/>
      <c r="AR8" s="135">
        <v>1</v>
      </c>
      <c r="AS8" s="106">
        <v>1001</v>
      </c>
      <c r="AT8" s="106" t="str">
        <f t="shared" ref="AT8:AT27" si="3">$L$4</f>
        <v>April</v>
      </c>
      <c r="AU8" s="106" t="s">
        <v>1</v>
      </c>
      <c r="AV8" s="109">
        <f t="shared" ref="AV8:AV27" si="4">COUNTIF($K8:$AO8,"*P*")</f>
        <v>20</v>
      </c>
      <c r="AW8" s="109">
        <f t="shared" ref="AW8:AW27" si="5">COUNTIF($K8:$AO8,"*A*")</f>
        <v>2</v>
      </c>
      <c r="AX8" s="109">
        <f t="shared" ref="AX8:AX27" si="6">COUNTIF($K8:$AO8,"*L*")</f>
        <v>5</v>
      </c>
      <c r="AY8" s="109">
        <f>$J$8</f>
        <v>4</v>
      </c>
      <c r="AZ8" s="112">
        <f>$K$4</f>
        <v>30</v>
      </c>
      <c r="BA8" s="112">
        <f>(AZ8-AW8)</f>
        <v>28</v>
      </c>
      <c r="BB8" s="115">
        <v>15000</v>
      </c>
      <c r="BC8" s="118">
        <f>AprilReport[[#This Row],[SALARY]]/AprilReport[[#This Row],[PAID DAYS]]</f>
        <v>535.71428571428567</v>
      </c>
      <c r="BD8" s="118">
        <f>AprilReport[[#This Row],[SALARY]]-AprilReport[[#This Row],[ DEDUCTION]]</f>
        <v>14464.285714285714</v>
      </c>
      <c r="BE8" s="124"/>
      <c r="BF8" s="14"/>
      <c r="BG8" s="76"/>
      <c r="BH8" s="4"/>
      <c r="BI8" s="4"/>
      <c r="BJ8" s="4"/>
      <c r="BK8" s="4"/>
      <c r="BL8" s="4"/>
      <c r="BM8" s="4"/>
    </row>
    <row r="9" spans="4:65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7">COUNTIF($K$6:$AO$6,"sun")</f>
        <v>4</v>
      </c>
      <c r="K9" s="51" t="s">
        <v>38</v>
      </c>
      <c r="L9" s="51" t="s">
        <v>38</v>
      </c>
      <c r="M9" s="51" t="s">
        <v>38</v>
      </c>
      <c r="N9" s="51" t="s">
        <v>38</v>
      </c>
      <c r="O9" s="51" t="str">
        <f t="shared" si="2"/>
        <v>Wo</v>
      </c>
      <c r="P9" s="51" t="s">
        <v>40</v>
      </c>
      <c r="Q9" s="51" t="s">
        <v>38</v>
      </c>
      <c r="R9" s="51" t="s">
        <v>39</v>
      </c>
      <c r="S9" s="51" t="s">
        <v>38</v>
      </c>
      <c r="T9" s="51" t="s">
        <v>38</v>
      </c>
      <c r="U9" s="51" t="s">
        <v>38</v>
      </c>
      <c r="V9" s="51" t="str">
        <f t="shared" si="2"/>
        <v>Wo</v>
      </c>
      <c r="W9" s="51" t="s">
        <v>38</v>
      </c>
      <c r="X9" s="51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51" t="str">
        <f t="shared" si="2"/>
        <v>Wo</v>
      </c>
      <c r="AD9" s="65" t="s">
        <v>38</v>
      </c>
      <c r="AE9" s="65" t="s">
        <v>38</v>
      </c>
      <c r="AF9" s="65" t="s">
        <v>40</v>
      </c>
      <c r="AG9" s="65" t="s">
        <v>38</v>
      </c>
      <c r="AH9" s="65" t="s">
        <v>38</v>
      </c>
      <c r="AI9" s="65" t="s">
        <v>38</v>
      </c>
      <c r="AJ9" s="65" t="str">
        <f t="shared" si="2"/>
        <v>Wo</v>
      </c>
      <c r="AK9" s="65" t="s">
        <v>38</v>
      </c>
      <c r="AL9" s="65" t="s">
        <v>38</v>
      </c>
      <c r="AM9" s="65" t="s">
        <v>38</v>
      </c>
      <c r="AN9" s="65" t="s">
        <v>40</v>
      </c>
      <c r="AO9" s="16" t="s">
        <v>38</v>
      </c>
      <c r="AP9" s="77"/>
      <c r="AQ9" s="13"/>
      <c r="AR9" s="7">
        <v>2</v>
      </c>
      <c r="AS9" s="107">
        <v>1002</v>
      </c>
      <c r="AT9" s="107" t="str">
        <f t="shared" si="3"/>
        <v>April</v>
      </c>
      <c r="AU9" s="107" t="s">
        <v>2</v>
      </c>
      <c r="AV9" s="110">
        <f t="shared" si="4"/>
        <v>22</v>
      </c>
      <c r="AW9" s="110">
        <f t="shared" si="5"/>
        <v>1</v>
      </c>
      <c r="AX9" s="110">
        <f t="shared" si="6"/>
        <v>4</v>
      </c>
      <c r="AY9" s="110">
        <f t="shared" ref="AY9:AY27" si="8">$J$8</f>
        <v>4</v>
      </c>
      <c r="AZ9" s="113">
        <f t="shared" ref="AZ9:AZ27" si="9">$K$4</f>
        <v>30</v>
      </c>
      <c r="BA9" s="113">
        <f t="shared" ref="BA9:BA27" si="10">(AZ9-AW9)</f>
        <v>29</v>
      </c>
      <c r="BB9" s="116">
        <v>16000</v>
      </c>
      <c r="BC9" s="119">
        <f>AprilReport[[#This Row],[SALARY]]/AprilReport[[#This Row],[PAID DAYS]]</f>
        <v>551.72413793103453</v>
      </c>
      <c r="BD9" s="119">
        <f>AprilReport[[#This Row],[SALARY]]-AprilReport[[#This Row],[ DEDUCTION]]</f>
        <v>15448.275862068966</v>
      </c>
      <c r="BE9" s="121"/>
      <c r="BF9" s="14"/>
      <c r="BG9" s="76"/>
      <c r="BH9" s="4"/>
      <c r="BI9" s="4"/>
      <c r="BJ9" s="4"/>
      <c r="BK9" s="4"/>
      <c r="BL9" s="4"/>
      <c r="BM9" s="4"/>
    </row>
    <row r="10" spans="4:65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7"/>
        <v>4</v>
      </c>
      <c r="K10" s="51" t="s">
        <v>38</v>
      </c>
      <c r="L10" s="51" t="s">
        <v>38</v>
      </c>
      <c r="M10" s="51" t="s">
        <v>38</v>
      </c>
      <c r="N10" s="51" t="s">
        <v>38</v>
      </c>
      <c r="O10" s="51" t="str">
        <f t="shared" si="2"/>
        <v>Wo</v>
      </c>
      <c r="P10" s="51" t="s">
        <v>40</v>
      </c>
      <c r="Q10" s="51" t="s">
        <v>38</v>
      </c>
      <c r="R10" s="51" t="s">
        <v>38</v>
      </c>
      <c r="S10" s="51" t="s">
        <v>38</v>
      </c>
      <c r="T10" s="51" t="s">
        <v>38</v>
      </c>
      <c r="U10" s="51" t="s">
        <v>38</v>
      </c>
      <c r="V10" s="51" t="str">
        <f t="shared" si="2"/>
        <v>Wo</v>
      </c>
      <c r="W10" s="51" t="s">
        <v>38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51" t="str">
        <f t="shared" si="2"/>
        <v>Wo</v>
      </c>
      <c r="AD10" s="65" t="s">
        <v>38</v>
      </c>
      <c r="AE10" s="65" t="s">
        <v>38</v>
      </c>
      <c r="AF10" s="65" t="s">
        <v>40</v>
      </c>
      <c r="AG10" s="65" t="s">
        <v>38</v>
      </c>
      <c r="AH10" s="65" t="s">
        <v>38</v>
      </c>
      <c r="AI10" s="65" t="s">
        <v>38</v>
      </c>
      <c r="AJ10" s="65" t="str">
        <f t="shared" si="2"/>
        <v>Wo</v>
      </c>
      <c r="AK10" s="65" t="s">
        <v>38</v>
      </c>
      <c r="AL10" s="65" t="s">
        <v>38</v>
      </c>
      <c r="AM10" s="65" t="s">
        <v>38</v>
      </c>
      <c r="AN10" s="65" t="s">
        <v>40</v>
      </c>
      <c r="AO10" s="16" t="s">
        <v>38</v>
      </c>
      <c r="AP10" s="77"/>
      <c r="AQ10" s="13"/>
      <c r="AR10" s="7">
        <v>3</v>
      </c>
      <c r="AS10" s="107">
        <v>1003</v>
      </c>
      <c r="AT10" s="107" t="str">
        <f t="shared" si="3"/>
        <v>April</v>
      </c>
      <c r="AU10" s="107" t="s">
        <v>3</v>
      </c>
      <c r="AV10" s="110">
        <f t="shared" si="4"/>
        <v>23</v>
      </c>
      <c r="AW10" s="110">
        <f t="shared" si="5"/>
        <v>0</v>
      </c>
      <c r="AX10" s="110">
        <f t="shared" si="6"/>
        <v>4</v>
      </c>
      <c r="AY10" s="110">
        <f t="shared" si="8"/>
        <v>4</v>
      </c>
      <c r="AZ10" s="113">
        <f t="shared" si="9"/>
        <v>30</v>
      </c>
      <c r="BA10" s="113">
        <f t="shared" si="10"/>
        <v>30</v>
      </c>
      <c r="BB10" s="116">
        <v>18000</v>
      </c>
      <c r="BC10" s="119">
        <f>AprilReport[[#This Row],[SALARY]]/AprilReport[[#This Row],[PAID DAYS]]</f>
        <v>600</v>
      </c>
      <c r="BD10" s="119">
        <f>AprilReport[[#This Row],[SALARY]]-AprilReport[[#This Row],[ DEDUCTION]]</f>
        <v>17400</v>
      </c>
      <c r="BE10" s="121"/>
      <c r="BF10" s="14"/>
      <c r="BG10" s="76"/>
      <c r="BH10" s="4"/>
      <c r="BI10" s="4"/>
      <c r="BJ10" s="4"/>
      <c r="BK10" s="4"/>
      <c r="BL10" s="4"/>
      <c r="BM10" s="4"/>
    </row>
    <row r="11" spans="4:65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7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2"/>
        <v>Wo</v>
      </c>
      <c r="P11" s="51" t="s">
        <v>40</v>
      </c>
      <c r="Q11" s="51" t="s">
        <v>38</v>
      </c>
      <c r="R11" s="51" t="s">
        <v>38</v>
      </c>
      <c r="S11" s="51" t="s">
        <v>38</v>
      </c>
      <c r="T11" s="51" t="s">
        <v>38</v>
      </c>
      <c r="U11" s="51" t="s">
        <v>38</v>
      </c>
      <c r="V11" s="51" t="str">
        <f t="shared" si="2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39</v>
      </c>
      <c r="AB11" s="51" t="s">
        <v>38</v>
      </c>
      <c r="AC11" s="51" t="str">
        <f t="shared" si="2"/>
        <v>Wo</v>
      </c>
      <c r="AD11" s="65" t="s">
        <v>38</v>
      </c>
      <c r="AE11" s="65" t="s">
        <v>38</v>
      </c>
      <c r="AF11" s="65" t="s">
        <v>40</v>
      </c>
      <c r="AG11" s="65" t="s">
        <v>38</v>
      </c>
      <c r="AH11" s="65" t="s">
        <v>38</v>
      </c>
      <c r="AI11" s="65" t="s">
        <v>38</v>
      </c>
      <c r="AJ11" s="65" t="str">
        <f t="shared" si="2"/>
        <v>Wo</v>
      </c>
      <c r="AK11" s="65" t="s">
        <v>38</v>
      </c>
      <c r="AL11" s="65" t="s">
        <v>38</v>
      </c>
      <c r="AM11" s="65" t="s">
        <v>39</v>
      </c>
      <c r="AN11" s="65" t="s">
        <v>40</v>
      </c>
      <c r="AO11" s="16" t="s">
        <v>38</v>
      </c>
      <c r="AP11" s="77"/>
      <c r="AQ11" s="13"/>
      <c r="AR11" s="7">
        <v>4</v>
      </c>
      <c r="AS11" s="107">
        <v>1004</v>
      </c>
      <c r="AT11" s="107" t="str">
        <f t="shared" si="3"/>
        <v>April</v>
      </c>
      <c r="AU11" s="107" t="s">
        <v>4</v>
      </c>
      <c r="AV11" s="110">
        <f t="shared" si="4"/>
        <v>21</v>
      </c>
      <c r="AW11" s="110">
        <f t="shared" si="5"/>
        <v>2</v>
      </c>
      <c r="AX11" s="110">
        <f t="shared" si="6"/>
        <v>4</v>
      </c>
      <c r="AY11" s="110">
        <f t="shared" si="8"/>
        <v>4</v>
      </c>
      <c r="AZ11" s="113">
        <f t="shared" si="9"/>
        <v>30</v>
      </c>
      <c r="BA11" s="113">
        <f t="shared" si="10"/>
        <v>28</v>
      </c>
      <c r="BB11" s="116">
        <v>21000</v>
      </c>
      <c r="BC11" s="119">
        <f>AprilReport[[#This Row],[SALARY]]/AprilReport[[#This Row],[PAID DAYS]]</f>
        <v>750</v>
      </c>
      <c r="BD11" s="119">
        <f>AprilReport[[#This Row],[SALARY]]-AprilReport[[#This Row],[ DEDUCTION]]</f>
        <v>20250</v>
      </c>
      <c r="BE11" s="121"/>
      <c r="BF11" s="14"/>
      <c r="BG11" s="76"/>
      <c r="BH11" s="4"/>
      <c r="BI11" s="4"/>
      <c r="BJ11" s="4"/>
      <c r="BK11" s="4"/>
      <c r="BL11" s="4"/>
      <c r="BM11" s="4"/>
    </row>
    <row r="12" spans="4:65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7"/>
        <v>4</v>
      </c>
      <c r="K12" s="51" t="s">
        <v>38</v>
      </c>
      <c r="L12" s="51" t="s">
        <v>38</v>
      </c>
      <c r="M12" s="51" t="s">
        <v>38</v>
      </c>
      <c r="N12" s="51" t="s">
        <v>38</v>
      </c>
      <c r="O12" s="51" t="str">
        <f t="shared" si="2"/>
        <v>Wo</v>
      </c>
      <c r="P12" s="51" t="s">
        <v>40</v>
      </c>
      <c r="Q12" s="51" t="s">
        <v>38</v>
      </c>
      <c r="R12" s="51" t="s">
        <v>38</v>
      </c>
      <c r="S12" s="51" t="s">
        <v>38</v>
      </c>
      <c r="T12" s="51" t="s">
        <v>38</v>
      </c>
      <c r="U12" s="51" t="s">
        <v>38</v>
      </c>
      <c r="V12" s="51" t="str">
        <f t="shared" si="2"/>
        <v>Wo</v>
      </c>
      <c r="W12" s="51" t="s">
        <v>38</v>
      </c>
      <c r="X12" s="51" t="s">
        <v>38</v>
      </c>
      <c r="Y12" s="51" t="s">
        <v>38</v>
      </c>
      <c r="Z12" s="51" t="s">
        <v>40</v>
      </c>
      <c r="AA12" s="51" t="s">
        <v>38</v>
      </c>
      <c r="AB12" s="51" t="s">
        <v>38</v>
      </c>
      <c r="AC12" s="51" t="str">
        <f t="shared" si="2"/>
        <v>Wo</v>
      </c>
      <c r="AD12" s="65" t="s">
        <v>38</v>
      </c>
      <c r="AE12" s="65" t="s">
        <v>38</v>
      </c>
      <c r="AF12" s="65" t="s">
        <v>40</v>
      </c>
      <c r="AG12" s="65" t="s">
        <v>38</v>
      </c>
      <c r="AH12" s="65" t="s">
        <v>38</v>
      </c>
      <c r="AI12" s="65" t="s">
        <v>38</v>
      </c>
      <c r="AJ12" s="65" t="str">
        <f t="shared" si="2"/>
        <v>Wo</v>
      </c>
      <c r="AK12" s="65" t="s">
        <v>38</v>
      </c>
      <c r="AL12" s="65" t="s">
        <v>38</v>
      </c>
      <c r="AM12" s="65" t="s">
        <v>38</v>
      </c>
      <c r="AN12" s="65" t="s">
        <v>40</v>
      </c>
      <c r="AO12" s="16" t="s">
        <v>38</v>
      </c>
      <c r="AP12" s="77"/>
      <c r="AQ12" s="13"/>
      <c r="AR12" s="7">
        <v>5</v>
      </c>
      <c r="AS12" s="107">
        <v>1005</v>
      </c>
      <c r="AT12" s="107" t="str">
        <f t="shared" si="3"/>
        <v>April</v>
      </c>
      <c r="AU12" s="107" t="s">
        <v>5</v>
      </c>
      <c r="AV12" s="110">
        <f t="shared" si="4"/>
        <v>23</v>
      </c>
      <c r="AW12" s="110">
        <f t="shared" si="5"/>
        <v>0</v>
      </c>
      <c r="AX12" s="110">
        <f t="shared" si="6"/>
        <v>4</v>
      </c>
      <c r="AY12" s="110">
        <f t="shared" si="8"/>
        <v>4</v>
      </c>
      <c r="AZ12" s="113">
        <f t="shared" si="9"/>
        <v>30</v>
      </c>
      <c r="BA12" s="113">
        <f t="shared" si="10"/>
        <v>30</v>
      </c>
      <c r="BB12" s="116">
        <v>30000</v>
      </c>
      <c r="BC12" s="119">
        <f>AprilReport[[#This Row],[SALARY]]/AprilReport[[#This Row],[PAID DAYS]]</f>
        <v>1000</v>
      </c>
      <c r="BD12" s="119">
        <f>AprilReport[[#This Row],[SALARY]]-AprilReport[[#This Row],[ DEDUCTION]]</f>
        <v>29000</v>
      </c>
      <c r="BE12" s="121"/>
      <c r="BF12" s="14"/>
      <c r="BG12" s="76"/>
      <c r="BH12" s="4"/>
      <c r="BI12" s="4"/>
      <c r="BJ12" s="4"/>
      <c r="BK12" s="4"/>
      <c r="BL12" s="4"/>
      <c r="BM12" s="4"/>
    </row>
    <row r="13" spans="4:65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7"/>
        <v>4</v>
      </c>
      <c r="K13" s="51" t="s">
        <v>38</v>
      </c>
      <c r="L13" s="51" t="s">
        <v>38</v>
      </c>
      <c r="M13" s="51" t="s">
        <v>38</v>
      </c>
      <c r="N13" s="51" t="s">
        <v>38</v>
      </c>
      <c r="O13" s="51" t="str">
        <f t="shared" si="2"/>
        <v>Wo</v>
      </c>
      <c r="P13" s="51" t="s">
        <v>40</v>
      </c>
      <c r="Q13" s="51" t="s">
        <v>38</v>
      </c>
      <c r="R13" s="51" t="s">
        <v>38</v>
      </c>
      <c r="S13" s="51" t="s">
        <v>38</v>
      </c>
      <c r="T13" s="51" t="s">
        <v>38</v>
      </c>
      <c r="U13" s="51" t="s">
        <v>38</v>
      </c>
      <c r="V13" s="51" t="str">
        <f t="shared" si="2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38</v>
      </c>
      <c r="AC13" s="51" t="str">
        <f t="shared" si="2"/>
        <v>Wo</v>
      </c>
      <c r="AD13" s="65" t="s">
        <v>38</v>
      </c>
      <c r="AE13" s="65" t="s">
        <v>38</v>
      </c>
      <c r="AF13" s="65" t="s">
        <v>40</v>
      </c>
      <c r="AG13" s="65" t="s">
        <v>38</v>
      </c>
      <c r="AH13" s="65" t="s">
        <v>38</v>
      </c>
      <c r="AI13" s="65" t="s">
        <v>39</v>
      </c>
      <c r="AJ13" s="65" t="str">
        <f t="shared" si="2"/>
        <v>Wo</v>
      </c>
      <c r="AK13" s="65" t="s">
        <v>38</v>
      </c>
      <c r="AL13" s="65" t="s">
        <v>38</v>
      </c>
      <c r="AM13" s="65" t="s">
        <v>38</v>
      </c>
      <c r="AN13" s="65" t="s">
        <v>40</v>
      </c>
      <c r="AO13" s="16" t="s">
        <v>38</v>
      </c>
      <c r="AP13" s="77"/>
      <c r="AQ13" s="13"/>
      <c r="AR13" s="7">
        <v>6</v>
      </c>
      <c r="AS13" s="107">
        <v>1006</v>
      </c>
      <c r="AT13" s="107" t="str">
        <f t="shared" si="3"/>
        <v>April</v>
      </c>
      <c r="AU13" s="107" t="s">
        <v>6</v>
      </c>
      <c r="AV13" s="110">
        <f t="shared" si="4"/>
        <v>22</v>
      </c>
      <c r="AW13" s="110">
        <f t="shared" si="5"/>
        <v>1</v>
      </c>
      <c r="AX13" s="110">
        <f t="shared" si="6"/>
        <v>4</v>
      </c>
      <c r="AY13" s="110">
        <f t="shared" si="8"/>
        <v>4</v>
      </c>
      <c r="AZ13" s="113">
        <f t="shared" si="9"/>
        <v>30</v>
      </c>
      <c r="BA13" s="113">
        <f t="shared" si="10"/>
        <v>29</v>
      </c>
      <c r="BB13" s="116">
        <v>25000</v>
      </c>
      <c r="BC13" s="119">
        <f>AprilReport[[#This Row],[SALARY]]/AprilReport[[#This Row],[PAID DAYS]]</f>
        <v>862.06896551724139</v>
      </c>
      <c r="BD13" s="119">
        <f>AprilReport[[#This Row],[SALARY]]-AprilReport[[#This Row],[ DEDUCTION]]</f>
        <v>24137.931034482757</v>
      </c>
      <c r="BE13" s="121"/>
      <c r="BF13" s="14"/>
      <c r="BG13" s="76"/>
      <c r="BH13" s="4"/>
      <c r="BI13" s="4"/>
      <c r="BJ13" s="4"/>
      <c r="BK13" s="4"/>
      <c r="BL13" s="4"/>
      <c r="BM13" s="4"/>
    </row>
    <row r="14" spans="4:65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7"/>
        <v>4</v>
      </c>
      <c r="K14" s="51" t="s">
        <v>38</v>
      </c>
      <c r="L14" s="51" t="s">
        <v>39</v>
      </c>
      <c r="M14" s="51" t="s">
        <v>38</v>
      </c>
      <c r="N14" s="51" t="s">
        <v>38</v>
      </c>
      <c r="O14" s="51" t="str">
        <f t="shared" si="2"/>
        <v>Wo</v>
      </c>
      <c r="P14" s="51" t="s">
        <v>40</v>
      </c>
      <c r="Q14" s="51" t="s">
        <v>38</v>
      </c>
      <c r="R14" s="51" t="s">
        <v>38</v>
      </c>
      <c r="S14" s="51" t="s">
        <v>38</v>
      </c>
      <c r="T14" s="51" t="s">
        <v>38</v>
      </c>
      <c r="U14" s="51" t="s">
        <v>38</v>
      </c>
      <c r="V14" s="51" t="str">
        <f t="shared" si="2"/>
        <v>Wo</v>
      </c>
      <c r="W14" s="51" t="s">
        <v>38</v>
      </c>
      <c r="X14" s="51" t="s">
        <v>38</v>
      </c>
      <c r="Y14" s="51" t="s">
        <v>38</v>
      </c>
      <c r="Z14" s="51" t="s">
        <v>40</v>
      </c>
      <c r="AA14" s="51" t="s">
        <v>38</v>
      </c>
      <c r="AB14" s="51" t="s">
        <v>38</v>
      </c>
      <c r="AC14" s="51" t="str">
        <f t="shared" si="2"/>
        <v>Wo</v>
      </c>
      <c r="AD14" s="65" t="s">
        <v>39</v>
      </c>
      <c r="AE14" s="65" t="s">
        <v>38</v>
      </c>
      <c r="AF14" s="65" t="s">
        <v>40</v>
      </c>
      <c r="AG14" s="65" t="s">
        <v>38</v>
      </c>
      <c r="AH14" s="65" t="s">
        <v>38</v>
      </c>
      <c r="AI14" s="65" t="s">
        <v>38</v>
      </c>
      <c r="AJ14" s="65" t="str">
        <f t="shared" si="2"/>
        <v>Wo</v>
      </c>
      <c r="AK14" s="65" t="s">
        <v>38</v>
      </c>
      <c r="AL14" s="65" t="s">
        <v>38</v>
      </c>
      <c r="AM14" s="65" t="s">
        <v>38</v>
      </c>
      <c r="AN14" s="65" t="s">
        <v>40</v>
      </c>
      <c r="AO14" s="16" t="s">
        <v>38</v>
      </c>
      <c r="AP14" s="77"/>
      <c r="AQ14" s="13"/>
      <c r="AR14" s="7">
        <v>7</v>
      </c>
      <c r="AS14" s="107">
        <v>1007</v>
      </c>
      <c r="AT14" s="107" t="str">
        <f t="shared" si="3"/>
        <v>April</v>
      </c>
      <c r="AU14" s="107" t="s">
        <v>7</v>
      </c>
      <c r="AV14" s="110">
        <f t="shared" si="4"/>
        <v>21</v>
      </c>
      <c r="AW14" s="110">
        <f t="shared" si="5"/>
        <v>2</v>
      </c>
      <c r="AX14" s="110">
        <f t="shared" si="6"/>
        <v>4</v>
      </c>
      <c r="AY14" s="110">
        <f t="shared" si="8"/>
        <v>4</v>
      </c>
      <c r="AZ14" s="113">
        <f t="shared" si="9"/>
        <v>30</v>
      </c>
      <c r="BA14" s="113">
        <f t="shared" si="10"/>
        <v>28</v>
      </c>
      <c r="BB14" s="116">
        <v>30000</v>
      </c>
      <c r="BC14" s="119">
        <f>AprilReport[[#This Row],[SALARY]]/AprilReport[[#This Row],[PAID DAYS]]</f>
        <v>1071.4285714285713</v>
      </c>
      <c r="BD14" s="119">
        <f>AprilReport[[#This Row],[SALARY]]-AprilReport[[#This Row],[ DEDUCTION]]</f>
        <v>28928.571428571428</v>
      </c>
      <c r="BE14" s="121"/>
      <c r="BF14" s="14"/>
      <c r="BG14" s="76"/>
      <c r="BH14" s="4"/>
      <c r="BI14" s="4"/>
      <c r="BJ14" s="4"/>
      <c r="BK14" s="4"/>
      <c r="BL14" s="4"/>
      <c r="BM14" s="4"/>
    </row>
    <row r="15" spans="4:65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7"/>
        <v>4</v>
      </c>
      <c r="K15" s="51" t="s">
        <v>38</v>
      </c>
      <c r="L15" s="51" t="s">
        <v>38</v>
      </c>
      <c r="M15" s="51" t="s">
        <v>38</v>
      </c>
      <c r="N15" s="51" t="s">
        <v>40</v>
      </c>
      <c r="O15" s="51" t="str">
        <f t="shared" si="2"/>
        <v>Wo</v>
      </c>
      <c r="P15" s="51" t="s">
        <v>40</v>
      </c>
      <c r="Q15" s="51" t="s">
        <v>38</v>
      </c>
      <c r="R15" s="51" t="s">
        <v>38</v>
      </c>
      <c r="S15" s="51" t="s">
        <v>38</v>
      </c>
      <c r="T15" s="51" t="s">
        <v>38</v>
      </c>
      <c r="U15" s="51" t="s">
        <v>38</v>
      </c>
      <c r="V15" s="51" t="str">
        <f t="shared" si="2"/>
        <v>Wo</v>
      </c>
      <c r="W15" s="51" t="s">
        <v>38</v>
      </c>
      <c r="X15" s="51" t="s">
        <v>38</v>
      </c>
      <c r="Y15" s="51" t="s">
        <v>38</v>
      </c>
      <c r="Z15" s="51" t="s">
        <v>40</v>
      </c>
      <c r="AA15" s="51" t="s">
        <v>38</v>
      </c>
      <c r="AB15" s="51" t="s">
        <v>38</v>
      </c>
      <c r="AC15" s="51" t="str">
        <f t="shared" si="2"/>
        <v>Wo</v>
      </c>
      <c r="AD15" s="65" t="s">
        <v>38</v>
      </c>
      <c r="AE15" s="65" t="s">
        <v>38</v>
      </c>
      <c r="AF15" s="65" t="s">
        <v>40</v>
      </c>
      <c r="AG15" s="65" t="s">
        <v>38</v>
      </c>
      <c r="AH15" s="65" t="s">
        <v>38</v>
      </c>
      <c r="AI15" s="65" t="s">
        <v>38</v>
      </c>
      <c r="AJ15" s="65" t="str">
        <f t="shared" si="2"/>
        <v>Wo</v>
      </c>
      <c r="AK15" s="65" t="s">
        <v>38</v>
      </c>
      <c r="AL15" s="65" t="s">
        <v>38</v>
      </c>
      <c r="AM15" s="65" t="s">
        <v>38</v>
      </c>
      <c r="AN15" s="65" t="s">
        <v>40</v>
      </c>
      <c r="AO15" s="16" t="s">
        <v>38</v>
      </c>
      <c r="AP15" s="77"/>
      <c r="AQ15" s="13"/>
      <c r="AR15" s="7">
        <v>8</v>
      </c>
      <c r="AS15" s="107">
        <v>1008</v>
      </c>
      <c r="AT15" s="107" t="str">
        <f t="shared" si="3"/>
        <v>April</v>
      </c>
      <c r="AU15" s="107" t="s">
        <v>8</v>
      </c>
      <c r="AV15" s="110">
        <f t="shared" si="4"/>
        <v>22</v>
      </c>
      <c r="AW15" s="110">
        <f t="shared" si="5"/>
        <v>0</v>
      </c>
      <c r="AX15" s="110">
        <f t="shared" si="6"/>
        <v>5</v>
      </c>
      <c r="AY15" s="110">
        <f t="shared" si="8"/>
        <v>4</v>
      </c>
      <c r="AZ15" s="113">
        <f t="shared" si="9"/>
        <v>30</v>
      </c>
      <c r="BA15" s="113">
        <f t="shared" si="10"/>
        <v>30</v>
      </c>
      <c r="BB15" s="116">
        <v>35000</v>
      </c>
      <c r="BC15" s="119">
        <f>AprilReport[[#This Row],[SALARY]]/AprilReport[[#This Row],[PAID DAYS]]</f>
        <v>1166.6666666666667</v>
      </c>
      <c r="BD15" s="119">
        <f>AprilReport[[#This Row],[SALARY]]-AprilReport[[#This Row],[ DEDUCTION]]</f>
        <v>33833.333333333336</v>
      </c>
      <c r="BE15" s="121"/>
      <c r="BF15" s="14"/>
      <c r="BG15" s="76"/>
      <c r="BH15" s="4"/>
      <c r="BI15" s="4"/>
      <c r="BJ15" s="4"/>
      <c r="BK15" s="4"/>
      <c r="BL15" s="4"/>
      <c r="BM15" s="4"/>
    </row>
    <row r="16" spans="4:65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7"/>
        <v>4</v>
      </c>
      <c r="K16" s="51" t="s">
        <v>38</v>
      </c>
      <c r="L16" s="51" t="s">
        <v>38</v>
      </c>
      <c r="M16" s="51" t="s">
        <v>38</v>
      </c>
      <c r="N16" s="51" t="s">
        <v>38</v>
      </c>
      <c r="O16" s="51" t="str">
        <f t="shared" si="2"/>
        <v>Wo</v>
      </c>
      <c r="P16" s="51" t="s">
        <v>40</v>
      </c>
      <c r="Q16" s="51" t="s">
        <v>38</v>
      </c>
      <c r="R16" s="51" t="s">
        <v>38</v>
      </c>
      <c r="S16" s="51" t="s">
        <v>38</v>
      </c>
      <c r="T16" s="51" t="s">
        <v>38</v>
      </c>
      <c r="U16" s="51" t="s">
        <v>38</v>
      </c>
      <c r="V16" s="51" t="str">
        <f t="shared" si="2"/>
        <v>Wo</v>
      </c>
      <c r="W16" s="51" t="s">
        <v>38</v>
      </c>
      <c r="X16" s="51" t="s">
        <v>38</v>
      </c>
      <c r="Y16" s="51" t="s">
        <v>38</v>
      </c>
      <c r="Z16" s="51" t="s">
        <v>40</v>
      </c>
      <c r="AA16" s="51" t="s">
        <v>38</v>
      </c>
      <c r="AB16" s="51" t="s">
        <v>38</v>
      </c>
      <c r="AC16" s="51" t="str">
        <f t="shared" si="2"/>
        <v>Wo</v>
      </c>
      <c r="AD16" s="65" t="s">
        <v>38</v>
      </c>
      <c r="AE16" s="65" t="s">
        <v>39</v>
      </c>
      <c r="AF16" s="65" t="s">
        <v>40</v>
      </c>
      <c r="AG16" s="65" t="s">
        <v>38</v>
      </c>
      <c r="AH16" s="65" t="s">
        <v>38</v>
      </c>
      <c r="AI16" s="65" t="s">
        <v>38</v>
      </c>
      <c r="AJ16" s="65" t="str">
        <f t="shared" si="2"/>
        <v>Wo</v>
      </c>
      <c r="AK16" s="65" t="s">
        <v>38</v>
      </c>
      <c r="AL16" s="65" t="s">
        <v>38</v>
      </c>
      <c r="AM16" s="65" t="s">
        <v>38</v>
      </c>
      <c r="AN16" s="65" t="s">
        <v>40</v>
      </c>
      <c r="AO16" s="16" t="s">
        <v>38</v>
      </c>
      <c r="AP16" s="77"/>
      <c r="AQ16" s="13"/>
      <c r="AR16" s="7">
        <v>9</v>
      </c>
      <c r="AS16" s="107">
        <v>1009</v>
      </c>
      <c r="AT16" s="107" t="str">
        <f t="shared" si="3"/>
        <v>April</v>
      </c>
      <c r="AU16" s="107" t="s">
        <v>9</v>
      </c>
      <c r="AV16" s="110">
        <f t="shared" si="4"/>
        <v>22</v>
      </c>
      <c r="AW16" s="110">
        <f t="shared" si="5"/>
        <v>1</v>
      </c>
      <c r="AX16" s="110">
        <f t="shared" si="6"/>
        <v>4</v>
      </c>
      <c r="AY16" s="110">
        <f t="shared" si="8"/>
        <v>4</v>
      </c>
      <c r="AZ16" s="113">
        <f t="shared" si="9"/>
        <v>30</v>
      </c>
      <c r="BA16" s="113">
        <f t="shared" si="10"/>
        <v>29</v>
      </c>
      <c r="BB16" s="116">
        <v>18000</v>
      </c>
      <c r="BC16" s="119">
        <f>AprilReport[[#This Row],[SALARY]]/AprilReport[[#This Row],[PAID DAYS]]</f>
        <v>620.68965517241384</v>
      </c>
      <c r="BD16" s="119">
        <f>AprilReport[[#This Row],[SALARY]]-AprilReport[[#This Row],[ DEDUCTION]]</f>
        <v>17379.310344827587</v>
      </c>
      <c r="BE16" s="121"/>
      <c r="BF16" s="14"/>
      <c r="BG16" s="76"/>
      <c r="BH16" s="4"/>
      <c r="BI16" s="4"/>
      <c r="BJ16" s="4"/>
      <c r="BK16" s="4"/>
      <c r="BL16" s="4"/>
      <c r="BM16" s="4"/>
    </row>
    <row r="17" spans="4:65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7"/>
        <v>4</v>
      </c>
      <c r="K17" s="51" t="s">
        <v>38</v>
      </c>
      <c r="L17" s="51" t="s">
        <v>38</v>
      </c>
      <c r="M17" s="51" t="s">
        <v>38</v>
      </c>
      <c r="N17" s="51" t="s">
        <v>38</v>
      </c>
      <c r="O17" s="51" t="str">
        <f t="shared" si="2"/>
        <v>Wo</v>
      </c>
      <c r="P17" s="51" t="s">
        <v>40</v>
      </c>
      <c r="Q17" s="51" t="s">
        <v>38</v>
      </c>
      <c r="R17" s="51" t="s">
        <v>38</v>
      </c>
      <c r="S17" s="51" t="s">
        <v>39</v>
      </c>
      <c r="T17" s="51" t="s">
        <v>38</v>
      </c>
      <c r="U17" s="51" t="s">
        <v>38</v>
      </c>
      <c r="V17" s="51" t="str">
        <f t="shared" si="2"/>
        <v>Wo</v>
      </c>
      <c r="W17" s="51" t="s">
        <v>38</v>
      </c>
      <c r="X17" s="51" t="s">
        <v>38</v>
      </c>
      <c r="Y17" s="51" t="s">
        <v>38</v>
      </c>
      <c r="Z17" s="51" t="s">
        <v>40</v>
      </c>
      <c r="AA17" s="51" t="s">
        <v>38</v>
      </c>
      <c r="AB17" s="51" t="s">
        <v>38</v>
      </c>
      <c r="AC17" s="51" t="str">
        <f t="shared" si="2"/>
        <v>Wo</v>
      </c>
      <c r="AD17" s="65" t="s">
        <v>38</v>
      </c>
      <c r="AE17" s="65" t="s">
        <v>38</v>
      </c>
      <c r="AF17" s="65" t="s">
        <v>40</v>
      </c>
      <c r="AG17" s="65" t="s">
        <v>38</v>
      </c>
      <c r="AH17" s="65" t="s">
        <v>38</v>
      </c>
      <c r="AI17" s="65" t="s">
        <v>38</v>
      </c>
      <c r="AJ17" s="65" t="str">
        <f t="shared" si="2"/>
        <v>Wo</v>
      </c>
      <c r="AK17" s="65" t="s">
        <v>38</v>
      </c>
      <c r="AL17" s="65" t="s">
        <v>39</v>
      </c>
      <c r="AM17" s="65" t="s">
        <v>38</v>
      </c>
      <c r="AN17" s="65" t="s">
        <v>40</v>
      </c>
      <c r="AO17" s="16" t="s">
        <v>38</v>
      </c>
      <c r="AP17" s="77"/>
      <c r="AQ17" s="13"/>
      <c r="AR17" s="7">
        <v>10</v>
      </c>
      <c r="AS17" s="107">
        <v>1010</v>
      </c>
      <c r="AT17" s="107" t="str">
        <f t="shared" si="3"/>
        <v>April</v>
      </c>
      <c r="AU17" s="107" t="s">
        <v>10</v>
      </c>
      <c r="AV17" s="110">
        <f t="shared" si="4"/>
        <v>21</v>
      </c>
      <c r="AW17" s="110">
        <f t="shared" si="5"/>
        <v>2</v>
      </c>
      <c r="AX17" s="110">
        <f t="shared" si="6"/>
        <v>4</v>
      </c>
      <c r="AY17" s="110">
        <f t="shared" si="8"/>
        <v>4</v>
      </c>
      <c r="AZ17" s="113">
        <f t="shared" si="9"/>
        <v>30</v>
      </c>
      <c r="BA17" s="113">
        <f t="shared" si="10"/>
        <v>28</v>
      </c>
      <c r="BB17" s="116">
        <v>45000</v>
      </c>
      <c r="BC17" s="119">
        <f>AprilReport[[#This Row],[SALARY]]/AprilReport[[#This Row],[PAID DAYS]]</f>
        <v>1607.1428571428571</v>
      </c>
      <c r="BD17" s="119">
        <f>AprilReport[[#This Row],[SALARY]]-AprilReport[[#This Row],[ DEDUCTION]]</f>
        <v>43392.857142857145</v>
      </c>
      <c r="BE17" s="121"/>
      <c r="BF17" s="14"/>
      <c r="BG17" s="76"/>
      <c r="BH17" s="4"/>
      <c r="BI17" s="4"/>
      <c r="BJ17" s="4"/>
      <c r="BK17" s="4"/>
      <c r="BL17" s="4"/>
      <c r="BM17" s="4"/>
    </row>
    <row r="18" spans="4:65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7"/>
        <v>4</v>
      </c>
      <c r="K18" s="51" t="s">
        <v>38</v>
      </c>
      <c r="L18" s="51" t="s">
        <v>38</v>
      </c>
      <c r="M18" s="51" t="s">
        <v>38</v>
      </c>
      <c r="N18" s="51" t="s">
        <v>40</v>
      </c>
      <c r="O18" s="51" t="str">
        <f t="shared" si="2"/>
        <v>Wo</v>
      </c>
      <c r="P18" s="51" t="s">
        <v>40</v>
      </c>
      <c r="Q18" s="51" t="s">
        <v>38</v>
      </c>
      <c r="R18" s="51" t="s">
        <v>38</v>
      </c>
      <c r="S18" s="51" t="s">
        <v>38</v>
      </c>
      <c r="T18" s="51" t="s">
        <v>38</v>
      </c>
      <c r="U18" s="51" t="s">
        <v>38</v>
      </c>
      <c r="V18" s="51" t="str">
        <f t="shared" si="2"/>
        <v>Wo</v>
      </c>
      <c r="W18" s="51" t="s">
        <v>39</v>
      </c>
      <c r="X18" s="51" t="s">
        <v>38</v>
      </c>
      <c r="Y18" s="51" t="s">
        <v>38</v>
      </c>
      <c r="Z18" s="51" t="s">
        <v>40</v>
      </c>
      <c r="AA18" s="51" t="s">
        <v>38</v>
      </c>
      <c r="AB18" s="51" t="s">
        <v>38</v>
      </c>
      <c r="AC18" s="51" t="str">
        <f t="shared" si="2"/>
        <v>Wo</v>
      </c>
      <c r="AD18" s="65" t="s">
        <v>38</v>
      </c>
      <c r="AE18" s="65" t="s">
        <v>38</v>
      </c>
      <c r="AF18" s="65" t="s">
        <v>40</v>
      </c>
      <c r="AG18" s="65" t="s">
        <v>38</v>
      </c>
      <c r="AH18" s="65" t="s">
        <v>38</v>
      </c>
      <c r="AI18" s="65" t="s">
        <v>38</v>
      </c>
      <c r="AJ18" s="65" t="str">
        <f t="shared" si="2"/>
        <v>Wo</v>
      </c>
      <c r="AK18" s="65" t="s">
        <v>38</v>
      </c>
      <c r="AL18" s="65" t="s">
        <v>38</v>
      </c>
      <c r="AM18" s="65" t="s">
        <v>38</v>
      </c>
      <c r="AN18" s="65" t="s">
        <v>40</v>
      </c>
      <c r="AO18" s="16" t="s">
        <v>38</v>
      </c>
      <c r="AP18" s="77"/>
      <c r="AQ18" s="13"/>
      <c r="AR18" s="7">
        <v>11</v>
      </c>
      <c r="AS18" s="107">
        <v>1011</v>
      </c>
      <c r="AT18" s="107" t="str">
        <f t="shared" si="3"/>
        <v>April</v>
      </c>
      <c r="AU18" s="107" t="s">
        <v>11</v>
      </c>
      <c r="AV18" s="110">
        <f t="shared" si="4"/>
        <v>21</v>
      </c>
      <c r="AW18" s="110">
        <f t="shared" si="5"/>
        <v>1</v>
      </c>
      <c r="AX18" s="110">
        <f t="shared" si="6"/>
        <v>5</v>
      </c>
      <c r="AY18" s="110">
        <f t="shared" si="8"/>
        <v>4</v>
      </c>
      <c r="AZ18" s="113">
        <f t="shared" si="9"/>
        <v>30</v>
      </c>
      <c r="BA18" s="113">
        <f t="shared" si="10"/>
        <v>29</v>
      </c>
      <c r="BB18" s="116">
        <v>55000</v>
      </c>
      <c r="BC18" s="119">
        <f>AprilReport[[#This Row],[SALARY]]/AprilReport[[#This Row],[PAID DAYS]]</f>
        <v>1896.5517241379309</v>
      </c>
      <c r="BD18" s="119">
        <f>AprilReport[[#This Row],[SALARY]]-AprilReport[[#This Row],[ DEDUCTION]]</f>
        <v>53103.448275862072</v>
      </c>
      <c r="BE18" s="121"/>
      <c r="BF18" s="14"/>
      <c r="BG18" s="76"/>
      <c r="BH18" s="4"/>
      <c r="BI18" s="4"/>
      <c r="BJ18" s="4"/>
      <c r="BK18" s="4"/>
      <c r="BL18" s="4"/>
      <c r="BM18" s="4"/>
    </row>
    <row r="19" spans="4:65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7"/>
        <v>4</v>
      </c>
      <c r="K19" s="51" t="s">
        <v>38</v>
      </c>
      <c r="L19" s="51" t="s">
        <v>38</v>
      </c>
      <c r="M19" s="51" t="s">
        <v>38</v>
      </c>
      <c r="N19" s="51" t="s">
        <v>38</v>
      </c>
      <c r="O19" s="51" t="str">
        <f t="shared" si="2"/>
        <v>Wo</v>
      </c>
      <c r="P19" s="51" t="s">
        <v>40</v>
      </c>
      <c r="Q19" s="51" t="s">
        <v>38</v>
      </c>
      <c r="R19" s="51" t="s">
        <v>38</v>
      </c>
      <c r="S19" s="51" t="s">
        <v>38</v>
      </c>
      <c r="T19" s="51" t="s">
        <v>38</v>
      </c>
      <c r="U19" s="51" t="s">
        <v>38</v>
      </c>
      <c r="V19" s="51" t="str">
        <f t="shared" si="2"/>
        <v>Wo</v>
      </c>
      <c r="W19" s="51" t="s">
        <v>38</v>
      </c>
      <c r="X19" s="51" t="s">
        <v>38</v>
      </c>
      <c r="Y19" s="51" t="s">
        <v>39</v>
      </c>
      <c r="Z19" s="51" t="s">
        <v>40</v>
      </c>
      <c r="AA19" s="51" t="s">
        <v>39</v>
      </c>
      <c r="AB19" s="51" t="s">
        <v>38</v>
      </c>
      <c r="AC19" s="51" t="str">
        <f t="shared" si="2"/>
        <v>Wo</v>
      </c>
      <c r="AD19" s="65" t="s">
        <v>38</v>
      </c>
      <c r="AE19" s="65" t="s">
        <v>38</v>
      </c>
      <c r="AF19" s="65" t="s">
        <v>40</v>
      </c>
      <c r="AG19" s="65" t="s">
        <v>39</v>
      </c>
      <c r="AH19" s="65" t="s">
        <v>38</v>
      </c>
      <c r="AI19" s="65" t="s">
        <v>38</v>
      </c>
      <c r="AJ19" s="65" t="str">
        <f t="shared" si="2"/>
        <v>Wo</v>
      </c>
      <c r="AK19" s="65" t="s">
        <v>38</v>
      </c>
      <c r="AL19" s="65" t="s">
        <v>38</v>
      </c>
      <c r="AM19" s="65" t="s">
        <v>38</v>
      </c>
      <c r="AN19" s="65" t="s">
        <v>40</v>
      </c>
      <c r="AO19" s="16" t="s">
        <v>38</v>
      </c>
      <c r="AP19" s="77"/>
      <c r="AQ19" s="13"/>
      <c r="AR19" s="7">
        <v>12</v>
      </c>
      <c r="AS19" s="107">
        <v>1012</v>
      </c>
      <c r="AT19" s="107" t="str">
        <f t="shared" si="3"/>
        <v>April</v>
      </c>
      <c r="AU19" s="107" t="s">
        <v>12</v>
      </c>
      <c r="AV19" s="110">
        <f t="shared" si="4"/>
        <v>20</v>
      </c>
      <c r="AW19" s="110">
        <f t="shared" si="5"/>
        <v>3</v>
      </c>
      <c r="AX19" s="110">
        <f t="shared" si="6"/>
        <v>4</v>
      </c>
      <c r="AY19" s="110">
        <f t="shared" si="8"/>
        <v>4</v>
      </c>
      <c r="AZ19" s="113">
        <f t="shared" si="9"/>
        <v>30</v>
      </c>
      <c r="BA19" s="113">
        <f t="shared" si="10"/>
        <v>27</v>
      </c>
      <c r="BB19" s="116">
        <v>65000</v>
      </c>
      <c r="BC19" s="119">
        <f>AprilReport[[#This Row],[SALARY]]/AprilReport[[#This Row],[PAID DAYS]]</f>
        <v>2407.4074074074074</v>
      </c>
      <c r="BD19" s="119">
        <f>AprilReport[[#This Row],[SALARY]]-AprilReport[[#This Row],[ DEDUCTION]]</f>
        <v>62592.592592592591</v>
      </c>
      <c r="BE19" s="121"/>
      <c r="BF19" s="14"/>
      <c r="BG19" s="76"/>
      <c r="BH19" s="4"/>
      <c r="BI19" s="4"/>
      <c r="BJ19" s="4"/>
      <c r="BK19" s="4"/>
      <c r="BL19" s="4"/>
      <c r="BM19" s="4"/>
    </row>
    <row r="20" spans="4:65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7"/>
        <v>4</v>
      </c>
      <c r="K20" s="51" t="s">
        <v>38</v>
      </c>
      <c r="L20" s="51" t="s">
        <v>38</v>
      </c>
      <c r="M20" s="51" t="s">
        <v>39</v>
      </c>
      <c r="N20" s="51" t="s">
        <v>38</v>
      </c>
      <c r="O20" s="51" t="str">
        <f t="shared" si="2"/>
        <v>Wo</v>
      </c>
      <c r="P20" s="51" t="s">
        <v>40</v>
      </c>
      <c r="Q20" s="51" t="s">
        <v>38</v>
      </c>
      <c r="R20" s="51" t="s">
        <v>38</v>
      </c>
      <c r="S20" s="51" t="s">
        <v>38</v>
      </c>
      <c r="T20" s="51" t="s">
        <v>38</v>
      </c>
      <c r="U20" s="51" t="s">
        <v>40</v>
      </c>
      <c r="V20" s="51" t="str">
        <f t="shared" si="2"/>
        <v>Wo</v>
      </c>
      <c r="W20" s="51" t="s">
        <v>38</v>
      </c>
      <c r="X20" s="51" t="s">
        <v>38</v>
      </c>
      <c r="Y20" s="51" t="s">
        <v>38</v>
      </c>
      <c r="Z20" s="51" t="s">
        <v>40</v>
      </c>
      <c r="AA20" s="51" t="s">
        <v>38</v>
      </c>
      <c r="AB20" s="51" t="s">
        <v>38</v>
      </c>
      <c r="AC20" s="51" t="str">
        <f t="shared" si="2"/>
        <v>Wo</v>
      </c>
      <c r="AD20" s="65" t="s">
        <v>38</v>
      </c>
      <c r="AE20" s="65" t="s">
        <v>38</v>
      </c>
      <c r="AF20" s="65" t="s">
        <v>40</v>
      </c>
      <c r="AG20" s="65" t="s">
        <v>38</v>
      </c>
      <c r="AH20" s="65" t="s">
        <v>38</v>
      </c>
      <c r="AI20" s="65" t="s">
        <v>38</v>
      </c>
      <c r="AJ20" s="65" t="str">
        <f t="shared" si="2"/>
        <v>Wo</v>
      </c>
      <c r="AK20" s="65" t="s">
        <v>38</v>
      </c>
      <c r="AL20" s="65" t="s">
        <v>38</v>
      </c>
      <c r="AM20" s="65" t="s">
        <v>38</v>
      </c>
      <c r="AN20" s="65" t="s">
        <v>40</v>
      </c>
      <c r="AO20" s="16" t="s">
        <v>38</v>
      </c>
      <c r="AP20" s="77"/>
      <c r="AQ20" s="13"/>
      <c r="AR20" s="7">
        <v>13</v>
      </c>
      <c r="AS20" s="107">
        <v>1013</v>
      </c>
      <c r="AT20" s="107" t="str">
        <f t="shared" si="3"/>
        <v>April</v>
      </c>
      <c r="AU20" s="107" t="s">
        <v>13</v>
      </c>
      <c r="AV20" s="110">
        <f t="shared" si="4"/>
        <v>21</v>
      </c>
      <c r="AW20" s="110">
        <f t="shared" si="5"/>
        <v>1</v>
      </c>
      <c r="AX20" s="110">
        <f t="shared" si="6"/>
        <v>5</v>
      </c>
      <c r="AY20" s="110">
        <f t="shared" si="8"/>
        <v>4</v>
      </c>
      <c r="AZ20" s="113">
        <f t="shared" si="9"/>
        <v>30</v>
      </c>
      <c r="BA20" s="113">
        <f t="shared" si="10"/>
        <v>29</v>
      </c>
      <c r="BB20" s="116">
        <v>68000</v>
      </c>
      <c r="BC20" s="119">
        <f>AprilReport[[#This Row],[SALARY]]/AprilReport[[#This Row],[PAID DAYS]]</f>
        <v>2344.8275862068967</v>
      </c>
      <c r="BD20" s="119">
        <f>AprilReport[[#This Row],[SALARY]]-AprilReport[[#This Row],[ DEDUCTION]]</f>
        <v>65655.172413793101</v>
      </c>
      <c r="BE20" s="121"/>
      <c r="BF20" s="14"/>
      <c r="BG20" s="76"/>
      <c r="BH20" s="4"/>
      <c r="BI20" s="4"/>
      <c r="BJ20" s="4"/>
      <c r="BK20" s="4"/>
      <c r="BL20" s="4"/>
      <c r="BM20" s="4"/>
    </row>
    <row r="21" spans="4:65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7"/>
        <v>4</v>
      </c>
      <c r="K21" s="51" t="s">
        <v>38</v>
      </c>
      <c r="L21" s="51" t="s">
        <v>38</v>
      </c>
      <c r="M21" s="51" t="s">
        <v>38</v>
      </c>
      <c r="N21" s="51" t="s">
        <v>38</v>
      </c>
      <c r="O21" s="51" t="str">
        <f t="shared" si="2"/>
        <v>Wo</v>
      </c>
      <c r="P21" s="51" t="s">
        <v>40</v>
      </c>
      <c r="Q21" s="51" t="s">
        <v>38</v>
      </c>
      <c r="R21" s="51" t="s">
        <v>38</v>
      </c>
      <c r="S21" s="51" t="s">
        <v>38</v>
      </c>
      <c r="T21" s="51" t="s">
        <v>38</v>
      </c>
      <c r="U21" s="51" t="s">
        <v>40</v>
      </c>
      <c r="V21" s="51" t="str">
        <f t="shared" si="2"/>
        <v>Wo</v>
      </c>
      <c r="W21" s="51" t="s">
        <v>38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51" t="str">
        <f t="shared" si="2"/>
        <v>Wo</v>
      </c>
      <c r="AD21" s="65" t="s">
        <v>38</v>
      </c>
      <c r="AE21" s="65" t="s">
        <v>38</v>
      </c>
      <c r="AF21" s="65" t="s">
        <v>40</v>
      </c>
      <c r="AG21" s="65" t="s">
        <v>38</v>
      </c>
      <c r="AH21" s="65" t="s">
        <v>38</v>
      </c>
      <c r="AI21" s="65" t="s">
        <v>38</v>
      </c>
      <c r="AJ21" s="65" t="str">
        <f t="shared" si="2"/>
        <v>Wo</v>
      </c>
      <c r="AK21" s="65" t="s">
        <v>38</v>
      </c>
      <c r="AL21" s="65" t="s">
        <v>38</v>
      </c>
      <c r="AM21" s="65" t="s">
        <v>38</v>
      </c>
      <c r="AN21" s="65" t="s">
        <v>40</v>
      </c>
      <c r="AO21" s="16" t="s">
        <v>38</v>
      </c>
      <c r="AP21" s="77"/>
      <c r="AQ21" s="13"/>
      <c r="AR21" s="7">
        <v>14</v>
      </c>
      <c r="AS21" s="107">
        <v>1014</v>
      </c>
      <c r="AT21" s="107" t="str">
        <f t="shared" si="3"/>
        <v>April</v>
      </c>
      <c r="AU21" s="107" t="s">
        <v>14</v>
      </c>
      <c r="AV21" s="110">
        <f t="shared" si="4"/>
        <v>22</v>
      </c>
      <c r="AW21" s="110">
        <f t="shared" si="5"/>
        <v>0</v>
      </c>
      <c r="AX21" s="110">
        <f t="shared" si="6"/>
        <v>5</v>
      </c>
      <c r="AY21" s="110">
        <f t="shared" si="8"/>
        <v>4</v>
      </c>
      <c r="AZ21" s="113">
        <f t="shared" si="9"/>
        <v>30</v>
      </c>
      <c r="BA21" s="113">
        <f t="shared" si="10"/>
        <v>30</v>
      </c>
      <c r="BB21" s="116">
        <v>72000</v>
      </c>
      <c r="BC21" s="119">
        <f>AprilReport[[#This Row],[SALARY]]/AprilReport[[#This Row],[PAID DAYS]]</f>
        <v>2400</v>
      </c>
      <c r="BD21" s="119">
        <f>AprilReport[[#This Row],[SALARY]]-AprilReport[[#This Row],[ DEDUCTION]]</f>
        <v>69600</v>
      </c>
      <c r="BE21" s="121"/>
      <c r="BF21" s="14"/>
      <c r="BG21" s="76"/>
      <c r="BH21" s="4"/>
      <c r="BI21" s="4"/>
      <c r="BJ21" s="4"/>
      <c r="BK21" s="4"/>
      <c r="BL21" s="4"/>
      <c r="BM21" s="4"/>
    </row>
    <row r="22" spans="4:65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7"/>
        <v>4</v>
      </c>
      <c r="K22" s="51" t="s">
        <v>38</v>
      </c>
      <c r="L22" s="51" t="s">
        <v>38</v>
      </c>
      <c r="M22" s="51" t="s">
        <v>38</v>
      </c>
      <c r="N22" s="51" t="s">
        <v>38</v>
      </c>
      <c r="O22" s="51" t="str">
        <f t="shared" si="2"/>
        <v>Wo</v>
      </c>
      <c r="P22" s="51" t="s">
        <v>40</v>
      </c>
      <c r="Q22" s="51" t="s">
        <v>38</v>
      </c>
      <c r="R22" s="51" t="s">
        <v>38</v>
      </c>
      <c r="S22" s="51" t="s">
        <v>38</v>
      </c>
      <c r="T22" s="51" t="s">
        <v>38</v>
      </c>
      <c r="U22" s="51" t="s">
        <v>40</v>
      </c>
      <c r="V22" s="51" t="str">
        <f t="shared" si="2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51" t="str">
        <f t="shared" si="2"/>
        <v>Wo</v>
      </c>
      <c r="AD22" s="65" t="s">
        <v>38</v>
      </c>
      <c r="AE22" s="65" t="s">
        <v>38</v>
      </c>
      <c r="AF22" s="65" t="s">
        <v>40</v>
      </c>
      <c r="AG22" s="65" t="s">
        <v>38</v>
      </c>
      <c r="AH22" s="65" t="s">
        <v>38</v>
      </c>
      <c r="AI22" s="65" t="s">
        <v>38</v>
      </c>
      <c r="AJ22" s="65" t="str">
        <f t="shared" si="2"/>
        <v>Wo</v>
      </c>
      <c r="AK22" s="65" t="s">
        <v>38</v>
      </c>
      <c r="AL22" s="65" t="s">
        <v>38</v>
      </c>
      <c r="AM22" s="65" t="s">
        <v>38</v>
      </c>
      <c r="AN22" s="65" t="s">
        <v>40</v>
      </c>
      <c r="AO22" s="16" t="s">
        <v>38</v>
      </c>
      <c r="AP22" s="77"/>
      <c r="AQ22" s="13"/>
      <c r="AR22" s="7">
        <v>15</v>
      </c>
      <c r="AS22" s="107">
        <v>1015</v>
      </c>
      <c r="AT22" s="107" t="str">
        <f t="shared" si="3"/>
        <v>April</v>
      </c>
      <c r="AU22" s="107" t="s">
        <v>15</v>
      </c>
      <c r="AV22" s="110">
        <f t="shared" si="4"/>
        <v>22</v>
      </c>
      <c r="AW22" s="110">
        <f t="shared" si="5"/>
        <v>0</v>
      </c>
      <c r="AX22" s="110">
        <f t="shared" si="6"/>
        <v>5</v>
      </c>
      <c r="AY22" s="110">
        <f t="shared" si="8"/>
        <v>4</v>
      </c>
      <c r="AZ22" s="113">
        <f t="shared" si="9"/>
        <v>30</v>
      </c>
      <c r="BA22" s="113">
        <f t="shared" si="10"/>
        <v>30</v>
      </c>
      <c r="BB22" s="116">
        <v>20000</v>
      </c>
      <c r="BC22" s="119">
        <f>AprilReport[[#This Row],[SALARY]]/AprilReport[[#This Row],[PAID DAYS]]</f>
        <v>666.66666666666663</v>
      </c>
      <c r="BD22" s="119">
        <f>AprilReport[[#This Row],[SALARY]]-AprilReport[[#This Row],[ DEDUCTION]]</f>
        <v>19333.333333333332</v>
      </c>
      <c r="BE22" s="121"/>
      <c r="BF22" s="14"/>
      <c r="BG22" s="76"/>
      <c r="BH22" s="4"/>
      <c r="BI22" s="4"/>
      <c r="BJ22" s="4"/>
      <c r="BK22" s="4"/>
      <c r="BL22" s="4"/>
      <c r="BM22" s="4"/>
    </row>
    <row r="23" spans="4:65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7"/>
        <v>4</v>
      </c>
      <c r="K23" s="51" t="s">
        <v>38</v>
      </c>
      <c r="L23" s="51" t="s">
        <v>38</v>
      </c>
      <c r="M23" s="51" t="s">
        <v>38</v>
      </c>
      <c r="N23" s="51" t="s">
        <v>38</v>
      </c>
      <c r="O23" s="51" t="str">
        <f t="shared" si="2"/>
        <v>Wo</v>
      </c>
      <c r="P23" s="51" t="s">
        <v>40</v>
      </c>
      <c r="Q23" s="51" t="s">
        <v>38</v>
      </c>
      <c r="R23" s="51" t="s">
        <v>38</v>
      </c>
      <c r="S23" s="51" t="s">
        <v>38</v>
      </c>
      <c r="T23" s="51" t="s">
        <v>38</v>
      </c>
      <c r="U23" s="51" t="s">
        <v>40</v>
      </c>
      <c r="V23" s="51" t="str">
        <f t="shared" si="2"/>
        <v>Wo</v>
      </c>
      <c r="W23" s="51" t="s">
        <v>38</v>
      </c>
      <c r="X23" s="51" t="s">
        <v>38</v>
      </c>
      <c r="Y23" s="51" t="s">
        <v>38</v>
      </c>
      <c r="Z23" s="51" t="s">
        <v>40</v>
      </c>
      <c r="AA23" s="51" t="s">
        <v>38</v>
      </c>
      <c r="AB23" s="51" t="s">
        <v>38</v>
      </c>
      <c r="AC23" s="51" t="str">
        <f t="shared" si="2"/>
        <v>Wo</v>
      </c>
      <c r="AD23" s="65" t="s">
        <v>38</v>
      </c>
      <c r="AE23" s="65" t="s">
        <v>38</v>
      </c>
      <c r="AF23" s="65" t="s">
        <v>40</v>
      </c>
      <c r="AG23" s="65" t="s">
        <v>38</v>
      </c>
      <c r="AH23" s="65" t="s">
        <v>38</v>
      </c>
      <c r="AI23" s="65" t="s">
        <v>38</v>
      </c>
      <c r="AJ23" s="65" t="str">
        <f t="shared" si="2"/>
        <v>Wo</v>
      </c>
      <c r="AK23" s="65" t="s">
        <v>38</v>
      </c>
      <c r="AL23" s="65" t="s">
        <v>38</v>
      </c>
      <c r="AM23" s="65" t="s">
        <v>40</v>
      </c>
      <c r="AN23" s="65" t="s">
        <v>40</v>
      </c>
      <c r="AO23" s="16" t="s">
        <v>38</v>
      </c>
      <c r="AP23" s="77"/>
      <c r="AQ23" s="13"/>
      <c r="AR23" s="7">
        <v>16</v>
      </c>
      <c r="AS23" s="107">
        <v>1016</v>
      </c>
      <c r="AT23" s="107" t="str">
        <f t="shared" si="3"/>
        <v>April</v>
      </c>
      <c r="AU23" s="107" t="s">
        <v>16</v>
      </c>
      <c r="AV23" s="110">
        <f t="shared" si="4"/>
        <v>21</v>
      </c>
      <c r="AW23" s="110">
        <f t="shared" si="5"/>
        <v>0</v>
      </c>
      <c r="AX23" s="110">
        <f t="shared" si="6"/>
        <v>6</v>
      </c>
      <c r="AY23" s="110">
        <f t="shared" si="8"/>
        <v>4</v>
      </c>
      <c r="AZ23" s="113">
        <f t="shared" si="9"/>
        <v>30</v>
      </c>
      <c r="BA23" s="113">
        <f t="shared" si="10"/>
        <v>30</v>
      </c>
      <c r="BB23" s="116">
        <v>56000</v>
      </c>
      <c r="BC23" s="119">
        <f>AprilReport[[#This Row],[SALARY]]/AprilReport[[#This Row],[PAID DAYS]]</f>
        <v>1866.6666666666667</v>
      </c>
      <c r="BD23" s="119">
        <f>AprilReport[[#This Row],[SALARY]]-AprilReport[[#This Row],[ DEDUCTION]]</f>
        <v>54133.333333333336</v>
      </c>
      <c r="BE23" s="121"/>
      <c r="BF23" s="14"/>
      <c r="BG23" s="76"/>
      <c r="BH23" s="4"/>
      <c r="BI23" s="4"/>
      <c r="BJ23" s="4"/>
      <c r="BK23" s="4"/>
      <c r="BL23" s="4"/>
      <c r="BM23" s="4"/>
    </row>
    <row r="24" spans="4:65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7"/>
        <v>4</v>
      </c>
      <c r="K24" s="51" t="s">
        <v>38</v>
      </c>
      <c r="L24" s="51" t="s">
        <v>38</v>
      </c>
      <c r="M24" s="51" t="s">
        <v>38</v>
      </c>
      <c r="N24" s="51" t="s">
        <v>38</v>
      </c>
      <c r="O24" s="51" t="str">
        <f t="shared" ref="O24:V27" si="11">IF(O$6="sun","Wo"," ")</f>
        <v>Wo</v>
      </c>
      <c r="P24" s="51" t="s">
        <v>40</v>
      </c>
      <c r="Q24" s="51" t="s">
        <v>38</v>
      </c>
      <c r="R24" s="51" t="s">
        <v>38</v>
      </c>
      <c r="S24" s="51" t="s">
        <v>38</v>
      </c>
      <c r="T24" s="51" t="s">
        <v>38</v>
      </c>
      <c r="U24" s="51" t="s">
        <v>38</v>
      </c>
      <c r="V24" s="51" t="str">
        <f t="shared" si="11"/>
        <v>Wo</v>
      </c>
      <c r="W24" s="51" t="s">
        <v>38</v>
      </c>
      <c r="X24" s="51" t="s">
        <v>38</v>
      </c>
      <c r="Y24" s="51" t="s">
        <v>38</v>
      </c>
      <c r="Z24" s="51" t="s">
        <v>40</v>
      </c>
      <c r="AA24" s="51" t="s">
        <v>38</v>
      </c>
      <c r="AB24" s="51" t="s">
        <v>38</v>
      </c>
      <c r="AC24" s="51" t="str">
        <f t="shared" ref="AC24:AJ27" si="12">IF(AC$6="sun","Wo"," ")</f>
        <v>Wo</v>
      </c>
      <c r="AD24" s="65" t="s">
        <v>38</v>
      </c>
      <c r="AE24" s="65" t="s">
        <v>38</v>
      </c>
      <c r="AF24" s="65" t="s">
        <v>40</v>
      </c>
      <c r="AG24" s="65" t="s">
        <v>39</v>
      </c>
      <c r="AH24" s="65" t="s">
        <v>38</v>
      </c>
      <c r="AI24" s="65" t="s">
        <v>38</v>
      </c>
      <c r="AJ24" s="65" t="str">
        <f t="shared" si="12"/>
        <v>Wo</v>
      </c>
      <c r="AK24" s="65" t="s">
        <v>38</v>
      </c>
      <c r="AL24" s="65" t="s">
        <v>38</v>
      </c>
      <c r="AM24" s="65" t="s">
        <v>38</v>
      </c>
      <c r="AN24" s="65" t="s">
        <v>40</v>
      </c>
      <c r="AO24" s="16" t="s">
        <v>38</v>
      </c>
      <c r="AP24" s="77"/>
      <c r="AQ24" s="13"/>
      <c r="AR24" s="7">
        <v>17</v>
      </c>
      <c r="AS24" s="107">
        <v>1017</v>
      </c>
      <c r="AT24" s="107" t="str">
        <f t="shared" si="3"/>
        <v>April</v>
      </c>
      <c r="AU24" s="107" t="s">
        <v>17</v>
      </c>
      <c r="AV24" s="110">
        <f t="shared" si="4"/>
        <v>22</v>
      </c>
      <c r="AW24" s="110">
        <f t="shared" si="5"/>
        <v>1</v>
      </c>
      <c r="AX24" s="110">
        <f t="shared" si="6"/>
        <v>4</v>
      </c>
      <c r="AY24" s="110">
        <f t="shared" si="8"/>
        <v>4</v>
      </c>
      <c r="AZ24" s="113">
        <f t="shared" si="9"/>
        <v>30</v>
      </c>
      <c r="BA24" s="113">
        <f t="shared" si="10"/>
        <v>29</v>
      </c>
      <c r="BB24" s="116">
        <v>35000</v>
      </c>
      <c r="BC24" s="119">
        <f>AprilReport[[#This Row],[SALARY]]/AprilReport[[#This Row],[PAID DAYS]]</f>
        <v>1206.8965517241379</v>
      </c>
      <c r="BD24" s="119">
        <f>AprilReport[[#This Row],[SALARY]]-AprilReport[[#This Row],[ DEDUCTION]]</f>
        <v>33793.103448275862</v>
      </c>
      <c r="BE24" s="121"/>
      <c r="BF24" s="14"/>
      <c r="BG24" s="76"/>
      <c r="BH24" s="4"/>
      <c r="BI24" s="4"/>
      <c r="BJ24" s="4"/>
      <c r="BK24" s="4"/>
      <c r="BL24" s="4"/>
      <c r="BM24" s="4"/>
    </row>
    <row r="25" spans="4:65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7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11"/>
        <v>Wo</v>
      </c>
      <c r="P25" s="51" t="s">
        <v>40</v>
      </c>
      <c r="Q25" s="51" t="s">
        <v>38</v>
      </c>
      <c r="R25" s="51" t="s">
        <v>38</v>
      </c>
      <c r="S25" s="51" t="s">
        <v>38</v>
      </c>
      <c r="T25" s="51" t="s">
        <v>38</v>
      </c>
      <c r="U25" s="51" t="s">
        <v>38</v>
      </c>
      <c r="V25" s="51" t="str">
        <f t="shared" si="11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38</v>
      </c>
      <c r="AB25" s="51" t="s">
        <v>38</v>
      </c>
      <c r="AC25" s="51" t="str">
        <f t="shared" si="12"/>
        <v>Wo</v>
      </c>
      <c r="AD25" s="65" t="s">
        <v>38</v>
      </c>
      <c r="AE25" s="65" t="s">
        <v>38</v>
      </c>
      <c r="AF25" s="65" t="s">
        <v>40</v>
      </c>
      <c r="AG25" s="65" t="s">
        <v>38</v>
      </c>
      <c r="AH25" s="65" t="s">
        <v>38</v>
      </c>
      <c r="AI25" s="65" t="s">
        <v>38</v>
      </c>
      <c r="AJ25" s="65" t="str">
        <f t="shared" si="12"/>
        <v>Wo</v>
      </c>
      <c r="AK25" s="65" t="s">
        <v>38</v>
      </c>
      <c r="AL25" s="65" t="s">
        <v>38</v>
      </c>
      <c r="AM25" s="65" t="s">
        <v>38</v>
      </c>
      <c r="AN25" s="65" t="s">
        <v>40</v>
      </c>
      <c r="AO25" s="16" t="s">
        <v>38</v>
      </c>
      <c r="AP25" s="77"/>
      <c r="AQ25" s="13"/>
      <c r="AR25" s="7">
        <v>18</v>
      </c>
      <c r="AS25" s="107">
        <v>1018</v>
      </c>
      <c r="AT25" s="107" t="str">
        <f t="shared" si="3"/>
        <v>April</v>
      </c>
      <c r="AU25" s="107" t="s">
        <v>18</v>
      </c>
      <c r="AV25" s="110">
        <f t="shared" si="4"/>
        <v>23</v>
      </c>
      <c r="AW25" s="110">
        <f t="shared" si="5"/>
        <v>0</v>
      </c>
      <c r="AX25" s="110">
        <f t="shared" si="6"/>
        <v>4</v>
      </c>
      <c r="AY25" s="110">
        <f t="shared" si="8"/>
        <v>4</v>
      </c>
      <c r="AZ25" s="113">
        <f t="shared" si="9"/>
        <v>30</v>
      </c>
      <c r="BA25" s="113">
        <f t="shared" si="10"/>
        <v>30</v>
      </c>
      <c r="BB25" s="116">
        <v>12000</v>
      </c>
      <c r="BC25" s="119">
        <f>AprilReport[[#This Row],[SALARY]]/AprilReport[[#This Row],[PAID DAYS]]</f>
        <v>400</v>
      </c>
      <c r="BD25" s="119">
        <f>AprilReport[[#This Row],[SALARY]]-AprilReport[[#This Row],[ DEDUCTION]]</f>
        <v>11600</v>
      </c>
      <c r="BE25" s="121"/>
      <c r="BF25" s="14"/>
      <c r="BG25" s="76"/>
      <c r="BH25" s="4"/>
      <c r="BI25" s="4"/>
      <c r="BJ25" s="4"/>
      <c r="BK25" s="4"/>
      <c r="BL25" s="4"/>
      <c r="BM25" s="4"/>
    </row>
    <row r="26" spans="4:65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7"/>
        <v>4</v>
      </c>
      <c r="K26" s="51" t="s">
        <v>38</v>
      </c>
      <c r="L26" s="51" t="s">
        <v>38</v>
      </c>
      <c r="M26" s="51" t="s">
        <v>38</v>
      </c>
      <c r="N26" s="51" t="s">
        <v>38</v>
      </c>
      <c r="O26" s="51" t="str">
        <f t="shared" si="11"/>
        <v>Wo</v>
      </c>
      <c r="P26" s="51" t="s">
        <v>40</v>
      </c>
      <c r="Q26" s="51" t="s">
        <v>38</v>
      </c>
      <c r="R26" s="51" t="s">
        <v>38</v>
      </c>
      <c r="S26" s="51" t="s">
        <v>38</v>
      </c>
      <c r="T26" s="51" t="s">
        <v>38</v>
      </c>
      <c r="U26" s="51" t="s">
        <v>38</v>
      </c>
      <c r="V26" s="51" t="str">
        <f t="shared" si="11"/>
        <v>Wo</v>
      </c>
      <c r="W26" s="51" t="s">
        <v>38</v>
      </c>
      <c r="X26" s="51" t="s">
        <v>38</v>
      </c>
      <c r="Y26" s="51" t="s">
        <v>38</v>
      </c>
      <c r="Z26" s="51" t="s">
        <v>40</v>
      </c>
      <c r="AA26" s="51" t="s">
        <v>38</v>
      </c>
      <c r="AB26" s="51" t="s">
        <v>38</v>
      </c>
      <c r="AC26" s="51" t="str">
        <f t="shared" si="12"/>
        <v>Wo</v>
      </c>
      <c r="AD26" s="65" t="s">
        <v>38</v>
      </c>
      <c r="AE26" s="65" t="s">
        <v>38</v>
      </c>
      <c r="AF26" s="65" t="s">
        <v>40</v>
      </c>
      <c r="AG26" s="65" t="s">
        <v>38</v>
      </c>
      <c r="AH26" s="65" t="s">
        <v>38</v>
      </c>
      <c r="AI26" s="65" t="s">
        <v>38</v>
      </c>
      <c r="AJ26" s="65" t="str">
        <f t="shared" si="12"/>
        <v>Wo</v>
      </c>
      <c r="AK26" s="65" t="s">
        <v>38</v>
      </c>
      <c r="AL26" s="65" t="s">
        <v>38</v>
      </c>
      <c r="AM26" s="65" t="s">
        <v>38</v>
      </c>
      <c r="AN26" s="65" t="s">
        <v>40</v>
      </c>
      <c r="AO26" s="16" t="s">
        <v>38</v>
      </c>
      <c r="AP26" s="77"/>
      <c r="AQ26" s="13"/>
      <c r="AR26" s="7">
        <v>19</v>
      </c>
      <c r="AS26" s="107">
        <v>1019</v>
      </c>
      <c r="AT26" s="107" t="str">
        <f t="shared" si="3"/>
        <v>April</v>
      </c>
      <c r="AU26" s="107" t="s">
        <v>19</v>
      </c>
      <c r="AV26" s="110">
        <f t="shared" si="4"/>
        <v>23</v>
      </c>
      <c r="AW26" s="110">
        <f t="shared" si="5"/>
        <v>0</v>
      </c>
      <c r="AX26" s="110">
        <f t="shared" si="6"/>
        <v>4</v>
      </c>
      <c r="AY26" s="110">
        <f t="shared" si="8"/>
        <v>4</v>
      </c>
      <c r="AZ26" s="113">
        <f t="shared" si="9"/>
        <v>30</v>
      </c>
      <c r="BA26" s="113">
        <f t="shared" si="10"/>
        <v>30</v>
      </c>
      <c r="BB26" s="116">
        <v>19000</v>
      </c>
      <c r="BC26" s="119">
        <f>AprilReport[[#This Row],[SALARY]]/AprilReport[[#This Row],[PAID DAYS]]</f>
        <v>633.33333333333337</v>
      </c>
      <c r="BD26" s="119">
        <f>AprilReport[[#This Row],[SALARY]]-AprilReport[[#This Row],[ DEDUCTION]]</f>
        <v>18366.666666666668</v>
      </c>
      <c r="BE26" s="121"/>
      <c r="BF26" s="14"/>
      <c r="BG26" s="76"/>
      <c r="BH26" s="4"/>
      <c r="BI26" s="4"/>
      <c r="BJ26" s="4"/>
      <c r="BK26" s="4"/>
      <c r="BL26" s="4"/>
      <c r="BM26" s="4"/>
    </row>
    <row r="27" spans="4:65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7"/>
        <v>4</v>
      </c>
      <c r="K27" s="51" t="s">
        <v>38</v>
      </c>
      <c r="L27" s="9" t="s">
        <v>38</v>
      </c>
      <c r="M27" s="9" t="s">
        <v>38</v>
      </c>
      <c r="N27" s="9" t="s">
        <v>38</v>
      </c>
      <c r="O27" s="9" t="str">
        <f t="shared" si="11"/>
        <v>Wo</v>
      </c>
      <c r="P27" s="9" t="s">
        <v>40</v>
      </c>
      <c r="Q27" s="9" t="s">
        <v>38</v>
      </c>
      <c r="R27" s="51" t="s">
        <v>38</v>
      </c>
      <c r="S27" s="9" t="s">
        <v>38</v>
      </c>
      <c r="T27" s="9" t="s">
        <v>38</v>
      </c>
      <c r="U27" s="9" t="s">
        <v>38</v>
      </c>
      <c r="V27" s="9" t="str">
        <f t="shared" si="11"/>
        <v>Wo</v>
      </c>
      <c r="W27" s="9" t="s">
        <v>38</v>
      </c>
      <c r="X27" s="9" t="s">
        <v>38</v>
      </c>
      <c r="Y27" s="9" t="s">
        <v>38</v>
      </c>
      <c r="Z27" s="9" t="s">
        <v>40</v>
      </c>
      <c r="AA27" s="9" t="s">
        <v>38</v>
      </c>
      <c r="AB27" s="9" t="s">
        <v>38</v>
      </c>
      <c r="AC27" s="9" t="str">
        <f t="shared" si="12"/>
        <v>Wo</v>
      </c>
      <c r="AD27" s="17" t="s">
        <v>38</v>
      </c>
      <c r="AE27" s="17" t="s">
        <v>38</v>
      </c>
      <c r="AF27" s="17" t="s">
        <v>40</v>
      </c>
      <c r="AG27" s="17" t="s">
        <v>38</v>
      </c>
      <c r="AH27" s="17" t="s">
        <v>38</v>
      </c>
      <c r="AI27" s="17" t="s">
        <v>38</v>
      </c>
      <c r="AJ27" s="17" t="str">
        <f t="shared" si="12"/>
        <v>Wo</v>
      </c>
      <c r="AK27" s="17" t="s">
        <v>38</v>
      </c>
      <c r="AL27" s="17" t="s">
        <v>38</v>
      </c>
      <c r="AM27" s="17" t="s">
        <v>38</v>
      </c>
      <c r="AN27" s="17" t="s">
        <v>40</v>
      </c>
      <c r="AO27" s="24" t="s">
        <v>38</v>
      </c>
      <c r="AP27" s="77"/>
      <c r="AQ27" s="13"/>
      <c r="AR27" s="7">
        <v>20</v>
      </c>
      <c r="AS27" s="107">
        <v>1020</v>
      </c>
      <c r="AT27" s="107" t="str">
        <f t="shared" si="3"/>
        <v>April</v>
      </c>
      <c r="AU27" s="107" t="s">
        <v>20</v>
      </c>
      <c r="AV27" s="110">
        <f t="shared" si="4"/>
        <v>23</v>
      </c>
      <c r="AW27" s="110">
        <f t="shared" si="5"/>
        <v>0</v>
      </c>
      <c r="AX27" s="110">
        <f t="shared" si="6"/>
        <v>4</v>
      </c>
      <c r="AY27" s="110">
        <f t="shared" si="8"/>
        <v>4</v>
      </c>
      <c r="AZ27" s="113">
        <f t="shared" si="9"/>
        <v>30</v>
      </c>
      <c r="BA27" s="113">
        <f t="shared" si="10"/>
        <v>30</v>
      </c>
      <c r="BB27" s="116">
        <v>21000</v>
      </c>
      <c r="BC27" s="119">
        <f>AprilReport[[#This Row],[SALARY]]/AprilReport[[#This Row],[PAID DAYS]]</f>
        <v>700</v>
      </c>
      <c r="BD27" s="119">
        <f>AprilReport[[#This Row],[SALARY]]-AprilReport[[#This Row],[ DEDUCTION]]</f>
        <v>20300</v>
      </c>
      <c r="BE27" s="121"/>
      <c r="BF27" s="14"/>
      <c r="BG27" s="76"/>
      <c r="BH27" s="4"/>
      <c r="BI27" s="4"/>
      <c r="BJ27" s="4"/>
      <c r="BK27" s="4"/>
      <c r="BL27" s="4"/>
      <c r="BM27" s="4"/>
    </row>
    <row r="28" spans="4:65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75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76"/>
      <c r="BH28" s="4"/>
      <c r="BI28" s="4"/>
      <c r="BJ28" s="4"/>
      <c r="BK28" s="4"/>
      <c r="BL28" s="4"/>
      <c r="BM28" s="4"/>
    </row>
    <row r="29" spans="4:65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75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76"/>
      <c r="BH29" s="4"/>
      <c r="BI29" s="4"/>
      <c r="BJ29" s="4"/>
      <c r="BK29" s="4"/>
      <c r="BL29" s="4"/>
      <c r="BM29" s="4"/>
    </row>
    <row r="30" spans="4:65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75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76"/>
      <c r="BH30" s="4"/>
      <c r="BI30" s="4"/>
      <c r="BJ30" s="4"/>
      <c r="BK30" s="4"/>
      <c r="BL30" s="4"/>
      <c r="BM30" s="4"/>
    </row>
    <row r="31" spans="4:65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75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76"/>
      <c r="BH31" s="4"/>
      <c r="BI31" s="4"/>
      <c r="BJ31" s="4"/>
      <c r="BK31" s="4"/>
      <c r="BL31" s="4"/>
      <c r="BM31" s="4"/>
    </row>
    <row r="32" spans="4:65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75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76"/>
      <c r="BH32" s="4"/>
      <c r="BI32" s="4"/>
      <c r="BJ32" s="4"/>
      <c r="BK32" s="4"/>
      <c r="BL32" s="4"/>
      <c r="BM32" s="4"/>
    </row>
    <row r="33" spans="1:65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75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76"/>
      <c r="BH33" s="4"/>
      <c r="BI33" s="4"/>
      <c r="BJ33" s="4"/>
      <c r="BK33" s="4"/>
      <c r="BL33" s="4"/>
      <c r="BM33" s="4"/>
    </row>
    <row r="34" spans="1:65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75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76"/>
      <c r="BH34" s="4"/>
      <c r="BI34" s="4"/>
      <c r="BJ34" s="4"/>
      <c r="BK34" s="4"/>
      <c r="BL34" s="4"/>
      <c r="BM34" s="4"/>
    </row>
    <row r="35" spans="1:65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75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76"/>
      <c r="BH35" s="4"/>
      <c r="BI35" s="4"/>
      <c r="BJ35" s="4"/>
      <c r="BK35" s="4"/>
      <c r="BL35" s="4"/>
      <c r="BM35" s="4"/>
    </row>
    <row r="36" spans="1:65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0"/>
      <c r="BF36" s="80"/>
      <c r="BG36" s="81"/>
      <c r="BH36" s="4"/>
      <c r="BI36" s="4"/>
      <c r="BJ36" s="4"/>
      <c r="BK36" s="4"/>
      <c r="BL36" s="4"/>
      <c r="BM36" s="4"/>
    </row>
    <row r="37" spans="1:65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</row>
    <row r="38" spans="1:65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</row>
    <row r="39" spans="1:65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</row>
    <row r="40" spans="1:65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</row>
    <row r="41" spans="1:65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</row>
    <row r="42" spans="1:65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</row>
    <row r="43" spans="1:65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</row>
    <row r="44" spans="1:65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</row>
    <row r="45" spans="1:65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</row>
    <row r="46" spans="1:65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</row>
    <row r="47" spans="1:65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</row>
    <row r="48" spans="1:65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</row>
    <row r="49" spans="42:65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</row>
    <row r="50" spans="42:65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</row>
    <row r="51" spans="42:65" ht="30" customHeight="1">
      <c r="AP51" s="4"/>
      <c r="AQ51" s="5"/>
    </row>
    <row r="52" spans="42:65" ht="30" customHeight="1">
      <c r="AP52" s="4"/>
      <c r="AQ52" s="5"/>
    </row>
    <row r="53" spans="42:65" ht="30" customHeight="1">
      <c r="AP53" s="4"/>
      <c r="AQ53" s="5"/>
    </row>
    <row r="54" spans="42:65" ht="30" customHeight="1">
      <c r="AP54" s="4"/>
      <c r="AQ54" s="5"/>
    </row>
    <row r="55" spans="42:65" ht="30" customHeight="1">
      <c r="AP55" s="4"/>
      <c r="AQ55" s="5"/>
    </row>
    <row r="56" spans="42:65" ht="30" customHeight="1">
      <c r="AP56" s="4"/>
      <c r="AQ56" s="5"/>
    </row>
    <row r="57" spans="42:65" ht="30" customHeight="1">
      <c r="AP57" s="4"/>
      <c r="AQ57" s="5"/>
    </row>
    <row r="58" spans="42:65" ht="30" customHeight="1">
      <c r="AP58" s="4"/>
      <c r="AQ58" s="5"/>
    </row>
    <row r="59" spans="42:65" ht="30" customHeight="1">
      <c r="AP59" s="4"/>
      <c r="AQ59" s="5"/>
    </row>
    <row r="60" spans="42:65" ht="30" customHeight="1">
      <c r="AP60" s="4"/>
      <c r="AQ60" s="5"/>
    </row>
    <row r="61" spans="42:65" ht="30" customHeight="1">
      <c r="AP61" s="4"/>
      <c r="AQ61" s="5"/>
    </row>
    <row r="62" spans="42:65" ht="30" customHeight="1"/>
    <row r="63" spans="42:65" ht="30" customHeight="1"/>
    <row r="64" spans="42:65" ht="30" customHeight="1"/>
    <row r="65" ht="30" customHeight="1"/>
  </sheetData>
  <mergeCells count="1">
    <mergeCell ref="G6:I6"/>
  </mergeCells>
  <conditionalFormatting sqref="J6:AO27">
    <cfRule type="containsText" dxfId="40" priority="4" operator="containsText" text="WO">
      <formula>NOT(ISERROR(SEARCH("WO",J6)))</formula>
    </cfRule>
  </conditionalFormatting>
  <conditionalFormatting sqref="K8:AO27">
    <cfRule type="containsText" dxfId="39" priority="1" operator="containsText" text="L">
      <formula>NOT(ISERROR(SEARCH("L",K8)))</formula>
    </cfRule>
    <cfRule type="containsText" dxfId="38" priority="2" operator="containsText" text="A">
      <formula>NOT(ISERROR(SEARCH("A",K8)))</formula>
    </cfRule>
    <cfRule type="containsText" dxfId="37" priority="3" operator="containsText" text="P">
      <formula>NOT(ISERROR(SEARCH("P",K8)))</formula>
    </cfRule>
  </conditionalFormatting>
  <dataValidations count="1">
    <dataValidation type="list" allowBlank="1" showInputMessage="1" showErrorMessage="1" sqref="AK8:AO27 AD8:AI27 K8:N27 W8:AB27 P8:U27" xr:uid="{FB14CE91-39D3-475F-9EF0-53E988D5B5FF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985CF5-1024-46CF-98C3-50BB3F560C92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6ED46F3-A7D4-4C57-B1F9-4C2381D5D6B8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APRIL!AV8:AY8</xm:f>
              <xm:sqref>BE8</xm:sqref>
            </x14:sparkline>
            <x14:sparkline>
              <xm:f>APRIL!AV9:AY9</xm:f>
              <xm:sqref>BE9</xm:sqref>
            </x14:sparkline>
            <x14:sparkline>
              <xm:f>APRIL!AV10:AY10</xm:f>
              <xm:sqref>BE10</xm:sqref>
            </x14:sparkline>
            <x14:sparkline>
              <xm:f>APRIL!AV11:AY11</xm:f>
              <xm:sqref>BE11</xm:sqref>
            </x14:sparkline>
            <x14:sparkline>
              <xm:f>APRIL!AV12:AY12</xm:f>
              <xm:sqref>BE12</xm:sqref>
            </x14:sparkline>
            <x14:sparkline>
              <xm:f>APRIL!AV13:AY13</xm:f>
              <xm:sqref>BE13</xm:sqref>
            </x14:sparkline>
            <x14:sparkline>
              <xm:f>APRIL!AV14:AY14</xm:f>
              <xm:sqref>BE14</xm:sqref>
            </x14:sparkline>
            <x14:sparkline>
              <xm:f>APRIL!AV15:AY15</xm:f>
              <xm:sqref>BE15</xm:sqref>
            </x14:sparkline>
            <x14:sparkline>
              <xm:f>APRIL!AV16:AY16</xm:f>
              <xm:sqref>BE16</xm:sqref>
            </x14:sparkline>
            <x14:sparkline>
              <xm:f>APRIL!AV17:AY17</xm:f>
              <xm:sqref>BE17</xm:sqref>
            </x14:sparkline>
            <x14:sparkline>
              <xm:f>APRIL!AV18:AY18</xm:f>
              <xm:sqref>BE18</xm:sqref>
            </x14:sparkline>
            <x14:sparkline>
              <xm:f>APRIL!AV19:AY19</xm:f>
              <xm:sqref>BE19</xm:sqref>
            </x14:sparkline>
            <x14:sparkline>
              <xm:f>APRIL!AV20:AY20</xm:f>
              <xm:sqref>BE20</xm:sqref>
            </x14:sparkline>
            <x14:sparkline>
              <xm:f>APRIL!AV21:AY21</xm:f>
              <xm:sqref>BE21</xm:sqref>
            </x14:sparkline>
            <x14:sparkline>
              <xm:f>APRIL!AV22:AY22</xm:f>
              <xm:sqref>BE22</xm:sqref>
            </x14:sparkline>
            <x14:sparkline>
              <xm:f>APRIL!AV23:AY23</xm:f>
              <xm:sqref>BE23</xm:sqref>
            </x14:sparkline>
            <x14:sparkline>
              <xm:f>APRIL!AV24:AY24</xm:f>
              <xm:sqref>BE24</xm:sqref>
            </x14:sparkline>
            <x14:sparkline>
              <xm:f>APRIL!AV25:AY25</xm:f>
              <xm:sqref>BE25</xm:sqref>
            </x14:sparkline>
            <x14:sparkline>
              <xm:f>APRIL!AV26:AY26</xm:f>
              <xm:sqref>BE26</xm:sqref>
            </x14:sparkline>
            <x14:sparkline>
              <xm:f>APRIL!AV27:AY27</xm:f>
              <xm:sqref>BE27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90DF-FE40-4A1D-94AD-3F3BA93C0DF2}">
  <dimension ref="A1:BM65"/>
  <sheetViews>
    <sheetView topLeftCell="Q5" zoomScale="50" zoomScaleNormal="50" workbookViewId="0">
      <selection activeCell="AO13" sqref="AO13:AO27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50" width="15.140625" style="3" customWidth="1"/>
    <col min="51" max="51" width="16" style="3" customWidth="1"/>
    <col min="52" max="53" width="16.85546875" style="3" customWidth="1"/>
    <col min="54" max="54" width="31.7109375" style="3" customWidth="1"/>
    <col min="55" max="55" width="17.7109375" style="3" customWidth="1"/>
    <col min="56" max="56" width="18.5703125" style="3" customWidth="1"/>
    <col min="57" max="57" width="23.42578125" style="2" customWidth="1"/>
    <col min="58" max="16384" width="9.140625" style="2"/>
  </cols>
  <sheetData>
    <row r="1" spans="4:65" ht="30" customHeight="1">
      <c r="AP1" s="69"/>
      <c r="AQ1" s="70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  <c r="BF1" s="73"/>
      <c r="BG1" s="74"/>
      <c r="BH1" s="4"/>
      <c r="BI1" s="4"/>
      <c r="BJ1" s="4"/>
      <c r="BK1" s="4"/>
      <c r="BL1" s="4"/>
      <c r="BM1" s="4"/>
    </row>
    <row r="2" spans="4:65" ht="30" customHeight="1" thickBot="1">
      <c r="AP2" s="75"/>
      <c r="AQ2" s="13"/>
      <c r="BF2" s="14"/>
      <c r="BG2" s="76"/>
      <c r="BH2" s="4"/>
      <c r="BI2" s="4"/>
      <c r="BJ2" s="4"/>
      <c r="BK2" s="4"/>
      <c r="BL2" s="4"/>
      <c r="BM2" s="4"/>
    </row>
    <row r="3" spans="4:65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75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76"/>
      <c r="BH3" s="4"/>
      <c r="BI3" s="4"/>
      <c r="BJ3" s="4"/>
      <c r="BK3" s="4"/>
      <c r="BL3" s="4"/>
      <c r="BM3" s="4"/>
    </row>
    <row r="4" spans="4:65" ht="30" customHeight="1">
      <c r="D4" s="55"/>
      <c r="E4" s="56"/>
      <c r="F4" s="56"/>
      <c r="G4" s="57" t="s">
        <v>24</v>
      </c>
      <c r="H4" s="58"/>
      <c r="I4" s="59">
        <v>45778</v>
      </c>
      <c r="J4" s="60"/>
      <c r="K4" s="57">
        <f>(DATEDIF(I4,O4,"D"))+1</f>
        <v>31</v>
      </c>
      <c r="L4" s="50" t="str">
        <f>TEXT(I4,"MMMM")</f>
        <v>May</v>
      </c>
      <c r="M4" s="57" t="s">
        <v>28</v>
      </c>
      <c r="N4" s="61"/>
      <c r="O4" s="59">
        <f>EOMONTH(I4,0)</f>
        <v>45808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75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76"/>
      <c r="BH4" s="4"/>
      <c r="BI4" s="4"/>
      <c r="BJ4" s="4"/>
      <c r="BK4" s="4"/>
      <c r="BL4" s="4"/>
      <c r="BM4" s="4"/>
    </row>
    <row r="5" spans="4:65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75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76"/>
      <c r="BH5" s="4"/>
      <c r="BI5" s="4"/>
      <c r="BJ5" s="4"/>
      <c r="BK5" s="4"/>
      <c r="BL5" s="4"/>
      <c r="BM5" s="4"/>
    </row>
    <row r="6" spans="4:65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19" t="str">
        <f t="shared" si="0"/>
        <v>Fri</v>
      </c>
      <c r="AP6" s="75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76"/>
      <c r="BH6" s="4"/>
      <c r="BI6" s="4"/>
      <c r="BJ6" s="4"/>
      <c r="BK6" s="4"/>
      <c r="BL6" s="4"/>
      <c r="BM6" s="4"/>
    </row>
    <row r="7" spans="4:65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64">
        <f t="shared" si="1"/>
        <v>45676</v>
      </c>
      <c r="AD7" s="64">
        <f t="shared" si="1"/>
        <v>45677</v>
      </c>
      <c r="AE7" s="64">
        <f t="shared" si="1"/>
        <v>45678</v>
      </c>
      <c r="AF7" s="64">
        <f t="shared" si="1"/>
        <v>45679</v>
      </c>
      <c r="AG7" s="64">
        <f t="shared" si="1"/>
        <v>45680</v>
      </c>
      <c r="AH7" s="64">
        <f t="shared" si="1"/>
        <v>45681</v>
      </c>
      <c r="AI7" s="64">
        <f t="shared" si="1"/>
        <v>45682</v>
      </c>
      <c r="AJ7" s="64">
        <f t="shared" si="1"/>
        <v>45683</v>
      </c>
      <c r="AK7" s="64">
        <f t="shared" si="1"/>
        <v>45684</v>
      </c>
      <c r="AL7" s="64">
        <f t="shared" si="1"/>
        <v>45685</v>
      </c>
      <c r="AM7" s="64">
        <f t="shared" si="1"/>
        <v>45686</v>
      </c>
      <c r="AN7" s="64">
        <f t="shared" si="1"/>
        <v>45687</v>
      </c>
      <c r="AO7" s="64">
        <f t="shared" si="1"/>
        <v>45688</v>
      </c>
      <c r="AP7" s="77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8" t="s">
        <v>41</v>
      </c>
      <c r="BE7" s="138" t="s">
        <v>37</v>
      </c>
      <c r="BF7" s="14"/>
      <c r="BG7" s="76"/>
      <c r="BH7" s="4"/>
      <c r="BI7" s="4"/>
      <c r="BJ7" s="4"/>
      <c r="BK7" s="4"/>
      <c r="BL7" s="4"/>
      <c r="BM7" s="4"/>
    </row>
    <row r="8" spans="4:65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38</v>
      </c>
      <c r="L8" s="51" t="s">
        <v>38</v>
      </c>
      <c r="M8" s="51" t="s">
        <v>38</v>
      </c>
      <c r="N8" s="51" t="s">
        <v>38</v>
      </c>
      <c r="O8" s="51" t="str">
        <f t="shared" ref="O8:AJ23" si="2">IF(O$6="sun","Wo"," ")</f>
        <v>Wo</v>
      </c>
      <c r="P8" s="51" t="s">
        <v>38</v>
      </c>
      <c r="Q8" s="51" t="s">
        <v>39</v>
      </c>
      <c r="R8" s="51" t="s">
        <v>40</v>
      </c>
      <c r="S8" s="51" t="s">
        <v>38</v>
      </c>
      <c r="T8" s="51" t="s">
        <v>38</v>
      </c>
      <c r="U8" s="51" t="s">
        <v>38</v>
      </c>
      <c r="V8" s="51" t="str">
        <f t="shared" si="2"/>
        <v>Wo</v>
      </c>
      <c r="W8" s="51" t="s">
        <v>38</v>
      </c>
      <c r="X8" s="51" t="s">
        <v>38</v>
      </c>
      <c r="Y8" s="51" t="s">
        <v>38</v>
      </c>
      <c r="Z8" s="51" t="s">
        <v>40</v>
      </c>
      <c r="AA8" s="51" t="s">
        <v>38</v>
      </c>
      <c r="AB8" s="51" t="s">
        <v>38</v>
      </c>
      <c r="AC8" s="51" t="str">
        <f t="shared" si="2"/>
        <v>Wo</v>
      </c>
      <c r="AD8" s="65" t="s">
        <v>38</v>
      </c>
      <c r="AE8" s="65" t="s">
        <v>38</v>
      </c>
      <c r="AF8" s="65" t="s">
        <v>40</v>
      </c>
      <c r="AG8" s="65" t="s">
        <v>38</v>
      </c>
      <c r="AH8" s="65" t="s">
        <v>38</v>
      </c>
      <c r="AI8" s="65" t="s">
        <v>38</v>
      </c>
      <c r="AJ8" s="65" t="str">
        <f t="shared" si="2"/>
        <v>Wo</v>
      </c>
      <c r="AK8" s="65" t="s">
        <v>39</v>
      </c>
      <c r="AL8" s="65" t="s">
        <v>38</v>
      </c>
      <c r="AM8" s="65" t="s">
        <v>38</v>
      </c>
      <c r="AN8" s="65" t="s">
        <v>40</v>
      </c>
      <c r="AO8" s="65" t="s">
        <v>39</v>
      </c>
      <c r="AP8" s="77"/>
      <c r="AQ8" s="13"/>
      <c r="AR8" s="135">
        <v>1</v>
      </c>
      <c r="AS8" s="106">
        <v>1001</v>
      </c>
      <c r="AT8" s="106" t="str">
        <f t="shared" ref="AT8:AT27" si="3">$L$4</f>
        <v>May</v>
      </c>
      <c r="AU8" s="106" t="s">
        <v>1</v>
      </c>
      <c r="AV8" s="109">
        <f t="shared" ref="AV8:AV27" si="4">COUNTIF($K8:$AO8,"*P*")</f>
        <v>20</v>
      </c>
      <c r="AW8" s="109">
        <f t="shared" ref="AW8:AW27" si="5">COUNTIF($K8:$AO8,"*A*")</f>
        <v>3</v>
      </c>
      <c r="AX8" s="109">
        <f t="shared" ref="AX8:AX27" si="6">COUNTIF($K8:$AO8,"*L*")</f>
        <v>4</v>
      </c>
      <c r="AY8" s="109">
        <f>$J$8</f>
        <v>4</v>
      </c>
      <c r="AZ8" s="112">
        <f>$K$4</f>
        <v>31</v>
      </c>
      <c r="BA8" s="112">
        <f>(AZ8-AW8)</f>
        <v>28</v>
      </c>
      <c r="BB8" s="115">
        <v>15000</v>
      </c>
      <c r="BC8" s="122">
        <f>MayReport[[#This Row],[SALARY]]/MayReport[[#This Row],[PAID DAYS]]</f>
        <v>535.71428571428567</v>
      </c>
      <c r="BD8" s="118">
        <f>MayReport[[#This Row],[SALARY]]-MayReport[[#This Row],[ DEDUCTION]]</f>
        <v>14464.285714285714</v>
      </c>
      <c r="BE8" s="140"/>
      <c r="BF8" s="14"/>
      <c r="BG8" s="76"/>
      <c r="BH8" s="4"/>
      <c r="BI8" s="4"/>
      <c r="BJ8" s="4"/>
      <c r="BK8" s="4"/>
      <c r="BL8" s="4"/>
      <c r="BM8" s="4"/>
    </row>
    <row r="9" spans="4:65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7">COUNTIF($K$6:$AO$6,"sun")</f>
        <v>4</v>
      </c>
      <c r="K9" s="51" t="s">
        <v>39</v>
      </c>
      <c r="L9" s="51" t="s">
        <v>38</v>
      </c>
      <c r="M9" s="51" t="s">
        <v>38</v>
      </c>
      <c r="N9" s="51" t="s">
        <v>38</v>
      </c>
      <c r="O9" s="51" t="str">
        <f t="shared" si="2"/>
        <v>Wo</v>
      </c>
      <c r="P9" s="51" t="s">
        <v>38</v>
      </c>
      <c r="Q9" s="51" t="s">
        <v>38</v>
      </c>
      <c r="R9" s="51" t="s">
        <v>40</v>
      </c>
      <c r="S9" s="51" t="s">
        <v>38</v>
      </c>
      <c r="T9" s="51" t="s">
        <v>38</v>
      </c>
      <c r="U9" s="51" t="s">
        <v>38</v>
      </c>
      <c r="V9" s="51" t="str">
        <f t="shared" si="2"/>
        <v>Wo</v>
      </c>
      <c r="W9" s="51" t="s">
        <v>38</v>
      </c>
      <c r="X9" s="51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51" t="str">
        <f t="shared" si="2"/>
        <v>Wo</v>
      </c>
      <c r="AD9" s="65" t="s">
        <v>38</v>
      </c>
      <c r="AE9" s="65" t="s">
        <v>38</v>
      </c>
      <c r="AF9" s="65" t="s">
        <v>40</v>
      </c>
      <c r="AG9" s="65" t="s">
        <v>38</v>
      </c>
      <c r="AH9" s="65" t="s">
        <v>38</v>
      </c>
      <c r="AI9" s="65" t="s">
        <v>38</v>
      </c>
      <c r="AJ9" s="65" t="str">
        <f t="shared" si="2"/>
        <v>Wo</v>
      </c>
      <c r="AK9" s="65" t="s">
        <v>38</v>
      </c>
      <c r="AL9" s="65" t="s">
        <v>38</v>
      </c>
      <c r="AM9" s="65" t="s">
        <v>38</v>
      </c>
      <c r="AN9" s="65" t="s">
        <v>40</v>
      </c>
      <c r="AO9" s="65" t="s">
        <v>38</v>
      </c>
      <c r="AP9" s="77"/>
      <c r="AQ9" s="13"/>
      <c r="AR9" s="7">
        <v>2</v>
      </c>
      <c r="AS9" s="107">
        <v>1002</v>
      </c>
      <c r="AT9" s="107" t="str">
        <f t="shared" si="3"/>
        <v>May</v>
      </c>
      <c r="AU9" s="107" t="s">
        <v>2</v>
      </c>
      <c r="AV9" s="110">
        <f t="shared" si="4"/>
        <v>22</v>
      </c>
      <c r="AW9" s="110">
        <f t="shared" si="5"/>
        <v>1</v>
      </c>
      <c r="AX9" s="110">
        <f t="shared" si="6"/>
        <v>4</v>
      </c>
      <c r="AY9" s="110">
        <f t="shared" ref="AY9:AY27" si="8">$J$8</f>
        <v>4</v>
      </c>
      <c r="AZ9" s="113">
        <f t="shared" ref="AZ9:AZ27" si="9">$K$4</f>
        <v>31</v>
      </c>
      <c r="BA9" s="113">
        <f t="shared" ref="BA9:BA27" si="10">(AZ9-AW9)</f>
        <v>30</v>
      </c>
      <c r="BB9" s="116">
        <v>16000</v>
      </c>
      <c r="BC9" s="123">
        <f>MayReport[[#This Row],[SALARY]]/MayReport[[#This Row],[PAID DAYS]]</f>
        <v>533.33333333333337</v>
      </c>
      <c r="BD9" s="119">
        <f>MayReport[[#This Row],[SALARY]]-MayReport[[#This Row],[ DEDUCTION]]</f>
        <v>15466.666666666666</v>
      </c>
      <c r="BE9" s="141"/>
      <c r="BF9" s="14"/>
      <c r="BG9" s="76"/>
      <c r="BH9" s="4"/>
      <c r="BI9" s="4"/>
      <c r="BJ9" s="4"/>
      <c r="BK9" s="4"/>
      <c r="BL9" s="4"/>
      <c r="BM9" s="4"/>
    </row>
    <row r="10" spans="4:65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7"/>
        <v>4</v>
      </c>
      <c r="K10" s="51" t="s">
        <v>38</v>
      </c>
      <c r="L10" s="51" t="s">
        <v>38</v>
      </c>
      <c r="M10" s="51" t="s">
        <v>38</v>
      </c>
      <c r="N10" s="51" t="s">
        <v>38</v>
      </c>
      <c r="O10" s="51" t="str">
        <f t="shared" si="2"/>
        <v>Wo</v>
      </c>
      <c r="P10" s="51" t="s">
        <v>38</v>
      </c>
      <c r="Q10" s="51" t="s">
        <v>38</v>
      </c>
      <c r="R10" s="51" t="s">
        <v>40</v>
      </c>
      <c r="S10" s="51" t="s">
        <v>38</v>
      </c>
      <c r="T10" s="51" t="s">
        <v>38</v>
      </c>
      <c r="U10" s="51" t="s">
        <v>38</v>
      </c>
      <c r="V10" s="51" t="str">
        <f t="shared" si="2"/>
        <v>Wo</v>
      </c>
      <c r="W10" s="51" t="s">
        <v>38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51" t="str">
        <f t="shared" si="2"/>
        <v>Wo</v>
      </c>
      <c r="AD10" s="65" t="s">
        <v>38</v>
      </c>
      <c r="AE10" s="65" t="s">
        <v>38</v>
      </c>
      <c r="AF10" s="65" t="s">
        <v>40</v>
      </c>
      <c r="AG10" s="65" t="s">
        <v>38</v>
      </c>
      <c r="AH10" s="65" t="s">
        <v>38</v>
      </c>
      <c r="AI10" s="65" t="s">
        <v>38</v>
      </c>
      <c r="AJ10" s="65" t="str">
        <f t="shared" si="2"/>
        <v>Wo</v>
      </c>
      <c r="AK10" s="65" t="s">
        <v>38</v>
      </c>
      <c r="AL10" s="65" t="s">
        <v>38</v>
      </c>
      <c r="AM10" s="65" t="s">
        <v>38</v>
      </c>
      <c r="AN10" s="65" t="s">
        <v>40</v>
      </c>
      <c r="AO10" s="65" t="s">
        <v>38</v>
      </c>
      <c r="AP10" s="77"/>
      <c r="AQ10" s="13"/>
      <c r="AR10" s="7">
        <v>3</v>
      </c>
      <c r="AS10" s="107">
        <v>1003</v>
      </c>
      <c r="AT10" s="107" t="str">
        <f t="shared" si="3"/>
        <v>May</v>
      </c>
      <c r="AU10" s="107" t="s">
        <v>3</v>
      </c>
      <c r="AV10" s="110">
        <f t="shared" si="4"/>
        <v>23</v>
      </c>
      <c r="AW10" s="110">
        <f t="shared" si="5"/>
        <v>0</v>
      </c>
      <c r="AX10" s="110">
        <f t="shared" si="6"/>
        <v>4</v>
      </c>
      <c r="AY10" s="110">
        <f t="shared" si="8"/>
        <v>4</v>
      </c>
      <c r="AZ10" s="113">
        <f t="shared" si="9"/>
        <v>31</v>
      </c>
      <c r="BA10" s="113">
        <f t="shared" si="10"/>
        <v>31</v>
      </c>
      <c r="BB10" s="116">
        <v>18000</v>
      </c>
      <c r="BC10" s="123">
        <f>MayReport[[#This Row],[SALARY]]/MayReport[[#This Row],[PAID DAYS]]</f>
        <v>580.64516129032256</v>
      </c>
      <c r="BD10" s="119">
        <f>MayReport[[#This Row],[SALARY]]-MayReport[[#This Row],[ DEDUCTION]]</f>
        <v>17419.354838709678</v>
      </c>
      <c r="BE10" s="141"/>
      <c r="BF10" s="14"/>
      <c r="BG10" s="76"/>
      <c r="BH10" s="4"/>
      <c r="BI10" s="4"/>
      <c r="BJ10" s="4"/>
      <c r="BK10" s="4"/>
      <c r="BL10" s="4"/>
      <c r="BM10" s="4"/>
    </row>
    <row r="11" spans="4:65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7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2"/>
        <v>Wo</v>
      </c>
      <c r="P11" s="51" t="s">
        <v>38</v>
      </c>
      <c r="Q11" s="51" t="s">
        <v>38</v>
      </c>
      <c r="R11" s="51" t="s">
        <v>40</v>
      </c>
      <c r="S11" s="51" t="s">
        <v>38</v>
      </c>
      <c r="T11" s="51" t="s">
        <v>39</v>
      </c>
      <c r="U11" s="51" t="s">
        <v>38</v>
      </c>
      <c r="V11" s="51" t="str">
        <f t="shared" si="2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38</v>
      </c>
      <c r="AB11" s="51" t="s">
        <v>38</v>
      </c>
      <c r="AC11" s="51" t="str">
        <f t="shared" si="2"/>
        <v>Wo</v>
      </c>
      <c r="AD11" s="65" t="s">
        <v>38</v>
      </c>
      <c r="AE11" s="65" t="s">
        <v>38</v>
      </c>
      <c r="AF11" s="65" t="s">
        <v>40</v>
      </c>
      <c r="AG11" s="65" t="s">
        <v>38</v>
      </c>
      <c r="AH11" s="65" t="s">
        <v>39</v>
      </c>
      <c r="AI11" s="65" t="s">
        <v>38</v>
      </c>
      <c r="AJ11" s="65" t="str">
        <f t="shared" si="2"/>
        <v>Wo</v>
      </c>
      <c r="AK11" s="65" t="s">
        <v>40</v>
      </c>
      <c r="AL11" s="65" t="s">
        <v>38</v>
      </c>
      <c r="AM11" s="65" t="s">
        <v>39</v>
      </c>
      <c r="AN11" s="65" t="s">
        <v>40</v>
      </c>
      <c r="AO11" s="65" t="s">
        <v>38</v>
      </c>
      <c r="AP11" s="77"/>
      <c r="AQ11" s="13"/>
      <c r="AR11" s="7">
        <v>4</v>
      </c>
      <c r="AS11" s="107">
        <v>1004</v>
      </c>
      <c r="AT11" s="107" t="str">
        <f t="shared" si="3"/>
        <v>May</v>
      </c>
      <c r="AU11" s="107" t="s">
        <v>4</v>
      </c>
      <c r="AV11" s="110">
        <f t="shared" si="4"/>
        <v>19</v>
      </c>
      <c r="AW11" s="110">
        <f t="shared" si="5"/>
        <v>3</v>
      </c>
      <c r="AX11" s="110">
        <f t="shared" si="6"/>
        <v>5</v>
      </c>
      <c r="AY11" s="110">
        <f t="shared" si="8"/>
        <v>4</v>
      </c>
      <c r="AZ11" s="113">
        <f t="shared" si="9"/>
        <v>31</v>
      </c>
      <c r="BA11" s="113">
        <f t="shared" si="10"/>
        <v>28</v>
      </c>
      <c r="BB11" s="116">
        <v>21000</v>
      </c>
      <c r="BC11" s="123">
        <f>MayReport[[#This Row],[SALARY]]/MayReport[[#This Row],[PAID DAYS]]</f>
        <v>750</v>
      </c>
      <c r="BD11" s="119">
        <f>MayReport[[#This Row],[SALARY]]-MayReport[[#This Row],[ DEDUCTION]]</f>
        <v>20250</v>
      </c>
      <c r="BE11" s="141"/>
      <c r="BF11" s="14"/>
      <c r="BG11" s="76"/>
      <c r="BH11" s="4"/>
      <c r="BI11" s="4"/>
      <c r="BJ11" s="4"/>
      <c r="BK11" s="4"/>
      <c r="BL11" s="4"/>
      <c r="BM11" s="4"/>
    </row>
    <row r="12" spans="4:65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7"/>
        <v>4</v>
      </c>
      <c r="K12" s="51" t="s">
        <v>40</v>
      </c>
      <c r="L12" s="51" t="s">
        <v>38</v>
      </c>
      <c r="M12" s="51" t="s">
        <v>38</v>
      </c>
      <c r="N12" s="51" t="s">
        <v>38</v>
      </c>
      <c r="O12" s="51" t="str">
        <f t="shared" si="2"/>
        <v>Wo</v>
      </c>
      <c r="P12" s="51" t="s">
        <v>39</v>
      </c>
      <c r="Q12" s="51" t="s">
        <v>40</v>
      </c>
      <c r="R12" s="51" t="s">
        <v>40</v>
      </c>
      <c r="S12" s="51" t="s">
        <v>38</v>
      </c>
      <c r="T12" s="51" t="s">
        <v>40</v>
      </c>
      <c r="U12" s="51" t="s">
        <v>38</v>
      </c>
      <c r="V12" s="51" t="str">
        <f t="shared" si="2"/>
        <v>Wo</v>
      </c>
      <c r="W12" s="51" t="s">
        <v>38</v>
      </c>
      <c r="X12" s="51" t="s">
        <v>38</v>
      </c>
      <c r="Y12" s="51" t="s">
        <v>38</v>
      </c>
      <c r="Z12" s="51" t="s">
        <v>40</v>
      </c>
      <c r="AA12" s="51" t="s">
        <v>38</v>
      </c>
      <c r="AB12" s="51" t="s">
        <v>38</v>
      </c>
      <c r="AC12" s="51" t="str">
        <f t="shared" si="2"/>
        <v>Wo</v>
      </c>
      <c r="AD12" s="65" t="s">
        <v>39</v>
      </c>
      <c r="AE12" s="65" t="s">
        <v>38</v>
      </c>
      <c r="AF12" s="65" t="s">
        <v>40</v>
      </c>
      <c r="AG12" s="65" t="s">
        <v>38</v>
      </c>
      <c r="AH12" s="65" t="s">
        <v>38</v>
      </c>
      <c r="AI12" s="65" t="s">
        <v>38</v>
      </c>
      <c r="AJ12" s="65" t="str">
        <f t="shared" si="2"/>
        <v>Wo</v>
      </c>
      <c r="AK12" s="65" t="s">
        <v>38</v>
      </c>
      <c r="AL12" s="65" t="s">
        <v>38</v>
      </c>
      <c r="AM12" s="65" t="s">
        <v>38</v>
      </c>
      <c r="AN12" s="65" t="s">
        <v>40</v>
      </c>
      <c r="AO12" s="65" t="s">
        <v>38</v>
      </c>
      <c r="AP12" s="77"/>
      <c r="AQ12" s="13"/>
      <c r="AR12" s="7">
        <v>5</v>
      </c>
      <c r="AS12" s="107">
        <v>1005</v>
      </c>
      <c r="AT12" s="107" t="str">
        <f t="shared" si="3"/>
        <v>May</v>
      </c>
      <c r="AU12" s="107" t="s">
        <v>5</v>
      </c>
      <c r="AV12" s="110">
        <f t="shared" si="4"/>
        <v>18</v>
      </c>
      <c r="AW12" s="110">
        <f t="shared" si="5"/>
        <v>2</v>
      </c>
      <c r="AX12" s="110">
        <f t="shared" si="6"/>
        <v>7</v>
      </c>
      <c r="AY12" s="110">
        <f t="shared" si="8"/>
        <v>4</v>
      </c>
      <c r="AZ12" s="113">
        <f t="shared" si="9"/>
        <v>31</v>
      </c>
      <c r="BA12" s="113">
        <f t="shared" si="10"/>
        <v>29</v>
      </c>
      <c r="BB12" s="116">
        <v>30000</v>
      </c>
      <c r="BC12" s="123">
        <f>MayReport[[#This Row],[SALARY]]/MayReport[[#This Row],[PAID DAYS]]</f>
        <v>1034.4827586206898</v>
      </c>
      <c r="BD12" s="119">
        <f>MayReport[[#This Row],[SALARY]]-MayReport[[#This Row],[ DEDUCTION]]</f>
        <v>28965.517241379312</v>
      </c>
      <c r="BE12" s="141"/>
      <c r="BF12" s="14"/>
      <c r="BG12" s="76"/>
      <c r="BH12" s="4"/>
      <c r="BI12" s="4"/>
      <c r="BJ12" s="4"/>
      <c r="BK12" s="4"/>
      <c r="BL12" s="4"/>
      <c r="BM12" s="4"/>
    </row>
    <row r="13" spans="4:65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7"/>
        <v>4</v>
      </c>
      <c r="K13" s="51" t="s">
        <v>40</v>
      </c>
      <c r="L13" s="51" t="s">
        <v>38</v>
      </c>
      <c r="M13" s="51" t="s">
        <v>39</v>
      </c>
      <c r="N13" s="51" t="s">
        <v>38</v>
      </c>
      <c r="O13" s="51" t="str">
        <f t="shared" si="2"/>
        <v>Wo</v>
      </c>
      <c r="P13" s="51" t="s">
        <v>38</v>
      </c>
      <c r="Q13" s="51" t="s">
        <v>40</v>
      </c>
      <c r="R13" s="51" t="s">
        <v>40</v>
      </c>
      <c r="S13" s="51" t="s">
        <v>38</v>
      </c>
      <c r="T13" s="51" t="s">
        <v>38</v>
      </c>
      <c r="U13" s="51" t="s">
        <v>40</v>
      </c>
      <c r="V13" s="51" t="str">
        <f t="shared" si="2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39</v>
      </c>
      <c r="AC13" s="51" t="str">
        <f t="shared" si="2"/>
        <v>Wo</v>
      </c>
      <c r="AD13" s="65" t="s">
        <v>38</v>
      </c>
      <c r="AE13" s="65" t="s">
        <v>38</v>
      </c>
      <c r="AF13" s="65" t="s">
        <v>40</v>
      </c>
      <c r="AG13" s="65" t="s">
        <v>38</v>
      </c>
      <c r="AH13" s="65" t="s">
        <v>38</v>
      </c>
      <c r="AI13" s="65" t="s">
        <v>38</v>
      </c>
      <c r="AJ13" s="65" t="str">
        <f t="shared" si="2"/>
        <v>Wo</v>
      </c>
      <c r="AK13" s="65" t="s">
        <v>38</v>
      </c>
      <c r="AL13" s="65" t="s">
        <v>38</v>
      </c>
      <c r="AM13" s="65" t="s">
        <v>38</v>
      </c>
      <c r="AN13" s="65" t="s">
        <v>40</v>
      </c>
      <c r="AO13" s="65" t="s">
        <v>38</v>
      </c>
      <c r="AP13" s="77"/>
      <c r="AQ13" s="13"/>
      <c r="AR13" s="7">
        <v>6</v>
      </c>
      <c r="AS13" s="107">
        <v>1006</v>
      </c>
      <c r="AT13" s="107" t="str">
        <f t="shared" si="3"/>
        <v>May</v>
      </c>
      <c r="AU13" s="107" t="s">
        <v>6</v>
      </c>
      <c r="AV13" s="110">
        <f t="shared" si="4"/>
        <v>18</v>
      </c>
      <c r="AW13" s="110">
        <f t="shared" si="5"/>
        <v>2</v>
      </c>
      <c r="AX13" s="110">
        <f t="shared" si="6"/>
        <v>7</v>
      </c>
      <c r="AY13" s="110">
        <f t="shared" si="8"/>
        <v>4</v>
      </c>
      <c r="AZ13" s="113">
        <f t="shared" si="9"/>
        <v>31</v>
      </c>
      <c r="BA13" s="113">
        <f t="shared" si="10"/>
        <v>29</v>
      </c>
      <c r="BB13" s="116">
        <v>25000</v>
      </c>
      <c r="BC13" s="123">
        <f>MayReport[[#This Row],[SALARY]]/MayReport[[#This Row],[PAID DAYS]]</f>
        <v>862.06896551724139</v>
      </c>
      <c r="BD13" s="119">
        <f>MayReport[[#This Row],[SALARY]]-MayReport[[#This Row],[ DEDUCTION]]</f>
        <v>24137.931034482757</v>
      </c>
      <c r="BE13" s="141"/>
      <c r="BF13" s="14"/>
      <c r="BG13" s="76"/>
      <c r="BH13" s="4"/>
      <c r="BI13" s="4"/>
      <c r="BJ13" s="4"/>
      <c r="BK13" s="4"/>
      <c r="BL13" s="4"/>
      <c r="BM13" s="4"/>
    </row>
    <row r="14" spans="4:65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7"/>
        <v>4</v>
      </c>
      <c r="K14" s="51" t="s">
        <v>38</v>
      </c>
      <c r="L14" s="51" t="s">
        <v>38</v>
      </c>
      <c r="M14" s="51" t="s">
        <v>38</v>
      </c>
      <c r="N14" s="51" t="s">
        <v>40</v>
      </c>
      <c r="O14" s="51" t="str">
        <f t="shared" si="2"/>
        <v>Wo</v>
      </c>
      <c r="P14" s="51" t="s">
        <v>38</v>
      </c>
      <c r="Q14" s="51" t="s">
        <v>40</v>
      </c>
      <c r="R14" s="51" t="s">
        <v>40</v>
      </c>
      <c r="S14" s="51" t="s">
        <v>38</v>
      </c>
      <c r="T14" s="51" t="s">
        <v>38</v>
      </c>
      <c r="U14" s="51" t="s">
        <v>38</v>
      </c>
      <c r="V14" s="51" t="str">
        <f t="shared" si="2"/>
        <v>Wo</v>
      </c>
      <c r="W14" s="51" t="s">
        <v>39</v>
      </c>
      <c r="X14" s="51" t="s">
        <v>38</v>
      </c>
      <c r="Y14" s="51" t="s">
        <v>38</v>
      </c>
      <c r="Z14" s="51" t="s">
        <v>40</v>
      </c>
      <c r="AA14" s="51" t="s">
        <v>38</v>
      </c>
      <c r="AB14" s="51" t="s">
        <v>38</v>
      </c>
      <c r="AC14" s="51" t="str">
        <f t="shared" si="2"/>
        <v>Wo</v>
      </c>
      <c r="AD14" s="65" t="s">
        <v>38</v>
      </c>
      <c r="AE14" s="65" t="s">
        <v>38</v>
      </c>
      <c r="AF14" s="65" t="s">
        <v>40</v>
      </c>
      <c r="AG14" s="65" t="s">
        <v>38</v>
      </c>
      <c r="AH14" s="65" t="s">
        <v>38</v>
      </c>
      <c r="AI14" s="65" t="s">
        <v>38</v>
      </c>
      <c r="AJ14" s="65" t="str">
        <f t="shared" si="2"/>
        <v>Wo</v>
      </c>
      <c r="AK14" s="65" t="s">
        <v>38</v>
      </c>
      <c r="AL14" s="65" t="s">
        <v>38</v>
      </c>
      <c r="AM14" s="65" t="s">
        <v>38</v>
      </c>
      <c r="AN14" s="65" t="s">
        <v>40</v>
      </c>
      <c r="AO14" s="65" t="s">
        <v>38</v>
      </c>
      <c r="AP14" s="77"/>
      <c r="AQ14" s="13"/>
      <c r="AR14" s="7">
        <v>7</v>
      </c>
      <c r="AS14" s="107">
        <v>1007</v>
      </c>
      <c r="AT14" s="107" t="str">
        <f t="shared" si="3"/>
        <v>May</v>
      </c>
      <c r="AU14" s="107" t="s">
        <v>7</v>
      </c>
      <c r="AV14" s="110">
        <f t="shared" si="4"/>
        <v>20</v>
      </c>
      <c r="AW14" s="110">
        <f t="shared" si="5"/>
        <v>1</v>
      </c>
      <c r="AX14" s="110">
        <f t="shared" si="6"/>
        <v>6</v>
      </c>
      <c r="AY14" s="110">
        <f t="shared" si="8"/>
        <v>4</v>
      </c>
      <c r="AZ14" s="113">
        <f t="shared" si="9"/>
        <v>31</v>
      </c>
      <c r="BA14" s="113">
        <f t="shared" si="10"/>
        <v>30</v>
      </c>
      <c r="BB14" s="116">
        <v>30000</v>
      </c>
      <c r="BC14" s="123">
        <f>MayReport[[#This Row],[SALARY]]/MayReport[[#This Row],[PAID DAYS]]</f>
        <v>1000</v>
      </c>
      <c r="BD14" s="119">
        <f>MayReport[[#This Row],[SALARY]]-MayReport[[#This Row],[ DEDUCTION]]</f>
        <v>29000</v>
      </c>
      <c r="BE14" s="141"/>
      <c r="BF14" s="14"/>
      <c r="BG14" s="76"/>
      <c r="BH14" s="4"/>
      <c r="BI14" s="4"/>
      <c r="BJ14" s="4"/>
      <c r="BK14" s="4"/>
      <c r="BL14" s="4"/>
      <c r="BM14" s="4"/>
    </row>
    <row r="15" spans="4:65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7"/>
        <v>4</v>
      </c>
      <c r="K15" s="51" t="s">
        <v>38</v>
      </c>
      <c r="L15" s="51" t="s">
        <v>38</v>
      </c>
      <c r="M15" s="51" t="s">
        <v>38</v>
      </c>
      <c r="N15" s="51" t="s">
        <v>40</v>
      </c>
      <c r="O15" s="51" t="str">
        <f t="shared" si="2"/>
        <v>Wo</v>
      </c>
      <c r="P15" s="51" t="s">
        <v>38</v>
      </c>
      <c r="Q15" s="51" t="s">
        <v>40</v>
      </c>
      <c r="R15" s="51" t="s">
        <v>40</v>
      </c>
      <c r="S15" s="51" t="s">
        <v>38</v>
      </c>
      <c r="T15" s="51" t="s">
        <v>40</v>
      </c>
      <c r="U15" s="51" t="s">
        <v>38</v>
      </c>
      <c r="V15" s="51" t="str">
        <f t="shared" si="2"/>
        <v>Wo</v>
      </c>
      <c r="W15" s="51" t="s">
        <v>38</v>
      </c>
      <c r="X15" s="51" t="s">
        <v>38</v>
      </c>
      <c r="Y15" s="51" t="s">
        <v>38</v>
      </c>
      <c r="Z15" s="51" t="s">
        <v>40</v>
      </c>
      <c r="AA15" s="51" t="s">
        <v>38</v>
      </c>
      <c r="AB15" s="51" t="s">
        <v>38</v>
      </c>
      <c r="AC15" s="51" t="str">
        <f t="shared" si="2"/>
        <v>Wo</v>
      </c>
      <c r="AD15" s="65" t="s">
        <v>38</v>
      </c>
      <c r="AE15" s="65" t="s">
        <v>38</v>
      </c>
      <c r="AF15" s="65" t="s">
        <v>40</v>
      </c>
      <c r="AG15" s="65" t="s">
        <v>38</v>
      </c>
      <c r="AH15" s="65" t="s">
        <v>38</v>
      </c>
      <c r="AI15" s="65" t="s">
        <v>38</v>
      </c>
      <c r="AJ15" s="65" t="str">
        <f t="shared" si="2"/>
        <v>Wo</v>
      </c>
      <c r="AK15" s="65" t="s">
        <v>39</v>
      </c>
      <c r="AL15" s="65" t="s">
        <v>38</v>
      </c>
      <c r="AM15" s="65" t="s">
        <v>38</v>
      </c>
      <c r="AN15" s="65" t="s">
        <v>40</v>
      </c>
      <c r="AO15" s="65" t="s">
        <v>38</v>
      </c>
      <c r="AP15" s="77"/>
      <c r="AQ15" s="13"/>
      <c r="AR15" s="7">
        <v>8</v>
      </c>
      <c r="AS15" s="107">
        <v>1008</v>
      </c>
      <c r="AT15" s="107" t="str">
        <f t="shared" si="3"/>
        <v>May</v>
      </c>
      <c r="AU15" s="107" t="s">
        <v>8</v>
      </c>
      <c r="AV15" s="110">
        <f t="shared" si="4"/>
        <v>19</v>
      </c>
      <c r="AW15" s="110">
        <f t="shared" si="5"/>
        <v>1</v>
      </c>
      <c r="AX15" s="110">
        <f t="shared" si="6"/>
        <v>7</v>
      </c>
      <c r="AY15" s="110">
        <f t="shared" si="8"/>
        <v>4</v>
      </c>
      <c r="AZ15" s="113">
        <f t="shared" si="9"/>
        <v>31</v>
      </c>
      <c r="BA15" s="113">
        <f t="shared" si="10"/>
        <v>30</v>
      </c>
      <c r="BB15" s="116">
        <v>35000</v>
      </c>
      <c r="BC15" s="123">
        <f>MayReport[[#This Row],[SALARY]]/MayReport[[#This Row],[PAID DAYS]]</f>
        <v>1166.6666666666667</v>
      </c>
      <c r="BD15" s="119">
        <f>MayReport[[#This Row],[SALARY]]-MayReport[[#This Row],[ DEDUCTION]]</f>
        <v>33833.333333333336</v>
      </c>
      <c r="BE15" s="141"/>
      <c r="BF15" s="14"/>
      <c r="BG15" s="76"/>
      <c r="BH15" s="4"/>
      <c r="BI15" s="4"/>
      <c r="BJ15" s="4"/>
      <c r="BK15" s="4"/>
      <c r="BL15" s="4"/>
      <c r="BM15" s="4"/>
    </row>
    <row r="16" spans="4:65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7"/>
        <v>4</v>
      </c>
      <c r="K16" s="51" t="s">
        <v>38</v>
      </c>
      <c r="L16" s="51" t="s">
        <v>40</v>
      </c>
      <c r="M16" s="51" t="s">
        <v>38</v>
      </c>
      <c r="N16" s="51" t="s">
        <v>40</v>
      </c>
      <c r="O16" s="51" t="str">
        <f t="shared" si="2"/>
        <v>Wo</v>
      </c>
      <c r="P16" s="51" t="s">
        <v>38</v>
      </c>
      <c r="Q16" s="51" t="s">
        <v>38</v>
      </c>
      <c r="R16" s="51" t="s">
        <v>40</v>
      </c>
      <c r="S16" s="51" t="s">
        <v>38</v>
      </c>
      <c r="T16" s="51" t="s">
        <v>38</v>
      </c>
      <c r="U16" s="51" t="s">
        <v>38</v>
      </c>
      <c r="V16" s="51" t="str">
        <f t="shared" si="2"/>
        <v>Wo</v>
      </c>
      <c r="W16" s="51" t="s">
        <v>38</v>
      </c>
      <c r="X16" s="51" t="s">
        <v>38</v>
      </c>
      <c r="Y16" s="51" t="s">
        <v>38</v>
      </c>
      <c r="Z16" s="51" t="s">
        <v>40</v>
      </c>
      <c r="AA16" s="51" t="s">
        <v>38</v>
      </c>
      <c r="AB16" s="51" t="s">
        <v>38</v>
      </c>
      <c r="AC16" s="51" t="str">
        <f t="shared" si="2"/>
        <v>Wo</v>
      </c>
      <c r="AD16" s="65" t="s">
        <v>38</v>
      </c>
      <c r="AE16" s="65" t="s">
        <v>38</v>
      </c>
      <c r="AF16" s="65" t="s">
        <v>40</v>
      </c>
      <c r="AG16" s="65" t="s">
        <v>38</v>
      </c>
      <c r="AH16" s="65" t="s">
        <v>38</v>
      </c>
      <c r="AI16" s="65" t="s">
        <v>38</v>
      </c>
      <c r="AJ16" s="65" t="str">
        <f t="shared" si="2"/>
        <v>Wo</v>
      </c>
      <c r="AK16" s="65" t="s">
        <v>38</v>
      </c>
      <c r="AL16" s="65" t="s">
        <v>38</v>
      </c>
      <c r="AM16" s="65" t="s">
        <v>39</v>
      </c>
      <c r="AN16" s="65" t="s">
        <v>40</v>
      </c>
      <c r="AO16" s="65" t="s">
        <v>38</v>
      </c>
      <c r="AP16" s="77"/>
      <c r="AQ16" s="13"/>
      <c r="AR16" s="7">
        <v>9</v>
      </c>
      <c r="AS16" s="107">
        <v>1009</v>
      </c>
      <c r="AT16" s="107" t="str">
        <f t="shared" si="3"/>
        <v>May</v>
      </c>
      <c r="AU16" s="107" t="s">
        <v>9</v>
      </c>
      <c r="AV16" s="110">
        <f t="shared" si="4"/>
        <v>20</v>
      </c>
      <c r="AW16" s="110">
        <f t="shared" si="5"/>
        <v>1</v>
      </c>
      <c r="AX16" s="110">
        <f t="shared" si="6"/>
        <v>6</v>
      </c>
      <c r="AY16" s="110">
        <f t="shared" si="8"/>
        <v>4</v>
      </c>
      <c r="AZ16" s="113">
        <f t="shared" si="9"/>
        <v>31</v>
      </c>
      <c r="BA16" s="113">
        <f t="shared" si="10"/>
        <v>30</v>
      </c>
      <c r="BB16" s="116">
        <v>18000</v>
      </c>
      <c r="BC16" s="123">
        <f>MayReport[[#This Row],[SALARY]]/MayReport[[#This Row],[PAID DAYS]]</f>
        <v>600</v>
      </c>
      <c r="BD16" s="119">
        <f>MayReport[[#This Row],[SALARY]]-MayReport[[#This Row],[ DEDUCTION]]</f>
        <v>17400</v>
      </c>
      <c r="BE16" s="141"/>
      <c r="BF16" s="14"/>
      <c r="BG16" s="76"/>
      <c r="BH16" s="4"/>
      <c r="BI16" s="4"/>
      <c r="BJ16" s="4"/>
      <c r="BK16" s="4"/>
      <c r="BL16" s="4"/>
      <c r="BM16" s="4"/>
    </row>
    <row r="17" spans="4:65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7"/>
        <v>4</v>
      </c>
      <c r="K17" s="51" t="s">
        <v>38</v>
      </c>
      <c r="L17" s="51" t="s">
        <v>40</v>
      </c>
      <c r="M17" s="51" t="s">
        <v>38</v>
      </c>
      <c r="N17" s="51" t="s">
        <v>38</v>
      </c>
      <c r="O17" s="51" t="str">
        <f t="shared" si="2"/>
        <v>Wo</v>
      </c>
      <c r="P17" s="51" t="s">
        <v>38</v>
      </c>
      <c r="Q17" s="51" t="s">
        <v>38</v>
      </c>
      <c r="R17" s="51" t="s">
        <v>40</v>
      </c>
      <c r="S17" s="51" t="s">
        <v>38</v>
      </c>
      <c r="T17" s="51" t="s">
        <v>38</v>
      </c>
      <c r="U17" s="51" t="s">
        <v>38</v>
      </c>
      <c r="V17" s="51" t="str">
        <f t="shared" si="2"/>
        <v>Wo</v>
      </c>
      <c r="W17" s="51" t="s">
        <v>38</v>
      </c>
      <c r="X17" s="51" t="s">
        <v>40</v>
      </c>
      <c r="Y17" s="51" t="s">
        <v>40</v>
      </c>
      <c r="Z17" s="51" t="s">
        <v>40</v>
      </c>
      <c r="AA17" s="51" t="s">
        <v>38</v>
      </c>
      <c r="AB17" s="51" t="s">
        <v>38</v>
      </c>
      <c r="AC17" s="51" t="str">
        <f t="shared" si="2"/>
        <v>Wo</v>
      </c>
      <c r="AD17" s="65" t="s">
        <v>38</v>
      </c>
      <c r="AE17" s="65" t="s">
        <v>38</v>
      </c>
      <c r="AF17" s="65" t="s">
        <v>40</v>
      </c>
      <c r="AG17" s="65" t="s">
        <v>38</v>
      </c>
      <c r="AH17" s="65" t="s">
        <v>38</v>
      </c>
      <c r="AI17" s="65" t="s">
        <v>39</v>
      </c>
      <c r="AJ17" s="65" t="str">
        <f t="shared" si="2"/>
        <v>Wo</v>
      </c>
      <c r="AK17" s="65" t="s">
        <v>38</v>
      </c>
      <c r="AL17" s="65" t="s">
        <v>40</v>
      </c>
      <c r="AM17" s="65" t="s">
        <v>38</v>
      </c>
      <c r="AN17" s="65" t="s">
        <v>40</v>
      </c>
      <c r="AO17" s="65" t="s">
        <v>38</v>
      </c>
      <c r="AP17" s="77"/>
      <c r="AQ17" s="13"/>
      <c r="AR17" s="7">
        <v>10</v>
      </c>
      <c r="AS17" s="107">
        <v>1010</v>
      </c>
      <c r="AT17" s="107" t="str">
        <f t="shared" si="3"/>
        <v>May</v>
      </c>
      <c r="AU17" s="107" t="s">
        <v>10</v>
      </c>
      <c r="AV17" s="110">
        <f t="shared" si="4"/>
        <v>18</v>
      </c>
      <c r="AW17" s="110">
        <f t="shared" si="5"/>
        <v>1</v>
      </c>
      <c r="AX17" s="110">
        <f t="shared" si="6"/>
        <v>8</v>
      </c>
      <c r="AY17" s="110">
        <f t="shared" si="8"/>
        <v>4</v>
      </c>
      <c r="AZ17" s="113">
        <f t="shared" si="9"/>
        <v>31</v>
      </c>
      <c r="BA17" s="113">
        <f t="shared" si="10"/>
        <v>30</v>
      </c>
      <c r="BB17" s="116">
        <v>45000</v>
      </c>
      <c r="BC17" s="123">
        <f>MayReport[[#This Row],[SALARY]]/MayReport[[#This Row],[PAID DAYS]]</f>
        <v>1500</v>
      </c>
      <c r="BD17" s="119">
        <f>MayReport[[#This Row],[SALARY]]-MayReport[[#This Row],[ DEDUCTION]]</f>
        <v>43500</v>
      </c>
      <c r="BE17" s="141"/>
      <c r="BF17" s="14"/>
      <c r="BG17" s="76"/>
      <c r="BH17" s="4"/>
      <c r="BI17" s="4"/>
      <c r="BJ17" s="4"/>
      <c r="BK17" s="4"/>
      <c r="BL17" s="4"/>
      <c r="BM17" s="4"/>
    </row>
    <row r="18" spans="4:65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7"/>
        <v>4</v>
      </c>
      <c r="K18" s="51" t="s">
        <v>38</v>
      </c>
      <c r="L18" s="51" t="s">
        <v>38</v>
      </c>
      <c r="M18" s="51" t="s">
        <v>38</v>
      </c>
      <c r="N18" s="51" t="s">
        <v>38</v>
      </c>
      <c r="O18" s="51" t="str">
        <f t="shared" si="2"/>
        <v>Wo</v>
      </c>
      <c r="P18" s="51" t="s">
        <v>38</v>
      </c>
      <c r="Q18" s="51" t="s">
        <v>38</v>
      </c>
      <c r="R18" s="51" t="s">
        <v>40</v>
      </c>
      <c r="S18" s="51" t="s">
        <v>38</v>
      </c>
      <c r="T18" s="51" t="s">
        <v>38</v>
      </c>
      <c r="U18" s="51" t="s">
        <v>38</v>
      </c>
      <c r="V18" s="51" t="str">
        <f t="shared" si="2"/>
        <v>Wo</v>
      </c>
      <c r="W18" s="51" t="s">
        <v>38</v>
      </c>
      <c r="X18" s="51" t="s">
        <v>38</v>
      </c>
      <c r="Y18" s="51" t="s">
        <v>38</v>
      </c>
      <c r="Z18" s="51" t="s">
        <v>40</v>
      </c>
      <c r="AA18" s="51" t="s">
        <v>38</v>
      </c>
      <c r="AB18" s="51" t="s">
        <v>38</v>
      </c>
      <c r="AC18" s="51" t="str">
        <f t="shared" si="2"/>
        <v>Wo</v>
      </c>
      <c r="AD18" s="65" t="s">
        <v>38</v>
      </c>
      <c r="AE18" s="65" t="s">
        <v>38</v>
      </c>
      <c r="AF18" s="65" t="s">
        <v>40</v>
      </c>
      <c r="AG18" s="65" t="s">
        <v>38</v>
      </c>
      <c r="AH18" s="65" t="s">
        <v>38</v>
      </c>
      <c r="AI18" s="65" t="s">
        <v>38</v>
      </c>
      <c r="AJ18" s="65" t="str">
        <f t="shared" si="2"/>
        <v>Wo</v>
      </c>
      <c r="AK18" s="65" t="s">
        <v>38</v>
      </c>
      <c r="AL18" s="65" t="s">
        <v>38</v>
      </c>
      <c r="AM18" s="65" t="s">
        <v>38</v>
      </c>
      <c r="AN18" s="65" t="s">
        <v>40</v>
      </c>
      <c r="AO18" s="65" t="s">
        <v>38</v>
      </c>
      <c r="AP18" s="77"/>
      <c r="AQ18" s="13"/>
      <c r="AR18" s="7">
        <v>11</v>
      </c>
      <c r="AS18" s="107">
        <v>1011</v>
      </c>
      <c r="AT18" s="107" t="str">
        <f t="shared" si="3"/>
        <v>May</v>
      </c>
      <c r="AU18" s="107" t="s">
        <v>11</v>
      </c>
      <c r="AV18" s="110">
        <f t="shared" si="4"/>
        <v>23</v>
      </c>
      <c r="AW18" s="110">
        <f t="shared" si="5"/>
        <v>0</v>
      </c>
      <c r="AX18" s="110">
        <f t="shared" si="6"/>
        <v>4</v>
      </c>
      <c r="AY18" s="110">
        <f t="shared" si="8"/>
        <v>4</v>
      </c>
      <c r="AZ18" s="113">
        <f t="shared" si="9"/>
        <v>31</v>
      </c>
      <c r="BA18" s="113">
        <f t="shared" si="10"/>
        <v>31</v>
      </c>
      <c r="BB18" s="116">
        <v>55000</v>
      </c>
      <c r="BC18" s="123">
        <f>MayReport[[#This Row],[SALARY]]/MayReport[[#This Row],[PAID DAYS]]</f>
        <v>1774.1935483870968</v>
      </c>
      <c r="BD18" s="119">
        <f>MayReport[[#This Row],[SALARY]]-MayReport[[#This Row],[ DEDUCTION]]</f>
        <v>53225.806451612902</v>
      </c>
      <c r="BE18" s="141"/>
      <c r="BF18" s="14"/>
      <c r="BG18" s="76"/>
      <c r="BH18" s="4"/>
      <c r="BI18" s="4"/>
      <c r="BJ18" s="4"/>
      <c r="BK18" s="4"/>
      <c r="BL18" s="4"/>
      <c r="BM18" s="4"/>
    </row>
    <row r="19" spans="4:65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7"/>
        <v>4</v>
      </c>
      <c r="K19" s="51" t="s">
        <v>38</v>
      </c>
      <c r="L19" s="51" t="s">
        <v>39</v>
      </c>
      <c r="M19" s="51" t="s">
        <v>38</v>
      </c>
      <c r="N19" s="51" t="s">
        <v>38</v>
      </c>
      <c r="O19" s="51" t="str">
        <f t="shared" si="2"/>
        <v>Wo</v>
      </c>
      <c r="P19" s="51" t="s">
        <v>38</v>
      </c>
      <c r="Q19" s="51" t="s">
        <v>39</v>
      </c>
      <c r="R19" s="51" t="s">
        <v>40</v>
      </c>
      <c r="S19" s="51" t="s">
        <v>38</v>
      </c>
      <c r="T19" s="51" t="s">
        <v>38</v>
      </c>
      <c r="U19" s="51" t="s">
        <v>39</v>
      </c>
      <c r="V19" s="51" t="str">
        <f t="shared" si="2"/>
        <v>Wo</v>
      </c>
      <c r="W19" s="51" t="s">
        <v>38</v>
      </c>
      <c r="X19" s="51" t="s">
        <v>38</v>
      </c>
      <c r="Y19" s="51" t="s">
        <v>38</v>
      </c>
      <c r="Z19" s="51" t="s">
        <v>40</v>
      </c>
      <c r="AA19" s="51" t="s">
        <v>38</v>
      </c>
      <c r="AB19" s="51" t="s">
        <v>40</v>
      </c>
      <c r="AC19" s="51" t="str">
        <f t="shared" si="2"/>
        <v>Wo</v>
      </c>
      <c r="AD19" s="65" t="s">
        <v>39</v>
      </c>
      <c r="AE19" s="65" t="s">
        <v>38</v>
      </c>
      <c r="AF19" s="65" t="s">
        <v>40</v>
      </c>
      <c r="AG19" s="65" t="s">
        <v>38</v>
      </c>
      <c r="AH19" s="65" t="s">
        <v>38</v>
      </c>
      <c r="AI19" s="65" t="s">
        <v>38</v>
      </c>
      <c r="AJ19" s="65" t="str">
        <f t="shared" si="2"/>
        <v>Wo</v>
      </c>
      <c r="AK19" s="65" t="s">
        <v>38</v>
      </c>
      <c r="AL19" s="65" t="s">
        <v>38</v>
      </c>
      <c r="AM19" s="65" t="s">
        <v>38</v>
      </c>
      <c r="AN19" s="65" t="s">
        <v>40</v>
      </c>
      <c r="AO19" s="65" t="s">
        <v>38</v>
      </c>
      <c r="AP19" s="77"/>
      <c r="AQ19" s="13"/>
      <c r="AR19" s="7">
        <v>12</v>
      </c>
      <c r="AS19" s="107">
        <v>1012</v>
      </c>
      <c r="AT19" s="107" t="str">
        <f t="shared" si="3"/>
        <v>May</v>
      </c>
      <c r="AU19" s="107" t="s">
        <v>12</v>
      </c>
      <c r="AV19" s="110">
        <f t="shared" si="4"/>
        <v>18</v>
      </c>
      <c r="AW19" s="110">
        <f t="shared" si="5"/>
        <v>4</v>
      </c>
      <c r="AX19" s="110">
        <f t="shared" si="6"/>
        <v>5</v>
      </c>
      <c r="AY19" s="110">
        <f t="shared" si="8"/>
        <v>4</v>
      </c>
      <c r="AZ19" s="113">
        <f t="shared" si="9"/>
        <v>31</v>
      </c>
      <c r="BA19" s="113">
        <f t="shared" si="10"/>
        <v>27</v>
      </c>
      <c r="BB19" s="116">
        <v>65000</v>
      </c>
      <c r="BC19" s="123">
        <f>MayReport[[#This Row],[SALARY]]/MayReport[[#This Row],[PAID DAYS]]</f>
        <v>2407.4074074074074</v>
      </c>
      <c r="BD19" s="119">
        <f>MayReport[[#This Row],[SALARY]]-MayReport[[#This Row],[ DEDUCTION]]</f>
        <v>62592.592592592591</v>
      </c>
      <c r="BE19" s="141"/>
      <c r="BF19" s="14"/>
      <c r="BG19" s="76"/>
      <c r="BH19" s="4"/>
      <c r="BI19" s="4"/>
      <c r="BJ19" s="4"/>
      <c r="BK19" s="4"/>
      <c r="BL19" s="4"/>
      <c r="BM19" s="4"/>
    </row>
    <row r="20" spans="4:65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7"/>
        <v>4</v>
      </c>
      <c r="K20" s="51" t="s">
        <v>38</v>
      </c>
      <c r="L20" s="51" t="s">
        <v>38</v>
      </c>
      <c r="M20" s="51" t="s">
        <v>38</v>
      </c>
      <c r="N20" s="51" t="s">
        <v>38</v>
      </c>
      <c r="O20" s="51" t="str">
        <f t="shared" si="2"/>
        <v>Wo</v>
      </c>
      <c r="P20" s="51" t="s">
        <v>38</v>
      </c>
      <c r="Q20" s="51" t="s">
        <v>38</v>
      </c>
      <c r="R20" s="51" t="s">
        <v>40</v>
      </c>
      <c r="S20" s="51" t="s">
        <v>38</v>
      </c>
      <c r="T20" s="51" t="s">
        <v>38</v>
      </c>
      <c r="U20" s="51" t="s">
        <v>38</v>
      </c>
      <c r="V20" s="51" t="str">
        <f t="shared" si="2"/>
        <v>Wo</v>
      </c>
      <c r="W20" s="51" t="s">
        <v>38</v>
      </c>
      <c r="X20" s="51" t="s">
        <v>38</v>
      </c>
      <c r="Y20" s="51" t="s">
        <v>39</v>
      </c>
      <c r="Z20" s="51" t="s">
        <v>40</v>
      </c>
      <c r="AA20" s="51" t="s">
        <v>38</v>
      </c>
      <c r="AB20" s="51" t="s">
        <v>38</v>
      </c>
      <c r="AC20" s="51" t="str">
        <f t="shared" si="2"/>
        <v>Wo</v>
      </c>
      <c r="AD20" s="65" t="s">
        <v>38</v>
      </c>
      <c r="AE20" s="65" t="s">
        <v>38</v>
      </c>
      <c r="AF20" s="65" t="s">
        <v>40</v>
      </c>
      <c r="AG20" s="65" t="s">
        <v>38</v>
      </c>
      <c r="AH20" s="65" t="s">
        <v>38</v>
      </c>
      <c r="AI20" s="65" t="s">
        <v>38</v>
      </c>
      <c r="AJ20" s="65" t="str">
        <f t="shared" si="2"/>
        <v>Wo</v>
      </c>
      <c r="AK20" s="65" t="s">
        <v>39</v>
      </c>
      <c r="AL20" s="65" t="s">
        <v>38</v>
      </c>
      <c r="AM20" s="65" t="s">
        <v>38</v>
      </c>
      <c r="AN20" s="65" t="s">
        <v>40</v>
      </c>
      <c r="AO20" s="65" t="s">
        <v>38</v>
      </c>
      <c r="AP20" s="77"/>
      <c r="AQ20" s="13"/>
      <c r="AR20" s="7">
        <v>13</v>
      </c>
      <c r="AS20" s="107">
        <v>1013</v>
      </c>
      <c r="AT20" s="107" t="str">
        <f t="shared" si="3"/>
        <v>May</v>
      </c>
      <c r="AU20" s="107" t="s">
        <v>13</v>
      </c>
      <c r="AV20" s="110">
        <f t="shared" si="4"/>
        <v>21</v>
      </c>
      <c r="AW20" s="110">
        <f t="shared" si="5"/>
        <v>2</v>
      </c>
      <c r="AX20" s="110">
        <f t="shared" si="6"/>
        <v>4</v>
      </c>
      <c r="AY20" s="110">
        <f t="shared" si="8"/>
        <v>4</v>
      </c>
      <c r="AZ20" s="113">
        <f t="shared" si="9"/>
        <v>31</v>
      </c>
      <c r="BA20" s="113">
        <f t="shared" si="10"/>
        <v>29</v>
      </c>
      <c r="BB20" s="116">
        <v>68000</v>
      </c>
      <c r="BC20" s="123">
        <f>MayReport[[#This Row],[SALARY]]/MayReport[[#This Row],[PAID DAYS]]</f>
        <v>2344.8275862068967</v>
      </c>
      <c r="BD20" s="119">
        <f>MayReport[[#This Row],[SALARY]]-MayReport[[#This Row],[ DEDUCTION]]</f>
        <v>65655.172413793101</v>
      </c>
      <c r="BE20" s="141"/>
      <c r="BF20" s="14"/>
      <c r="BG20" s="76"/>
      <c r="BH20" s="4"/>
      <c r="BI20" s="4"/>
      <c r="BJ20" s="4"/>
      <c r="BK20" s="4"/>
      <c r="BL20" s="4"/>
      <c r="BM20" s="4"/>
    </row>
    <row r="21" spans="4:65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7"/>
        <v>4</v>
      </c>
      <c r="K21" s="51" t="s">
        <v>38</v>
      </c>
      <c r="L21" s="51" t="s">
        <v>38</v>
      </c>
      <c r="M21" s="51" t="s">
        <v>38</v>
      </c>
      <c r="N21" s="51" t="s">
        <v>38</v>
      </c>
      <c r="O21" s="51" t="str">
        <f t="shared" si="2"/>
        <v>Wo</v>
      </c>
      <c r="P21" s="51" t="s">
        <v>38</v>
      </c>
      <c r="Q21" s="51" t="s">
        <v>38</v>
      </c>
      <c r="R21" s="51" t="s">
        <v>40</v>
      </c>
      <c r="S21" s="51" t="s">
        <v>38</v>
      </c>
      <c r="T21" s="51" t="s">
        <v>38</v>
      </c>
      <c r="U21" s="51" t="s">
        <v>38</v>
      </c>
      <c r="V21" s="51" t="str">
        <f t="shared" si="2"/>
        <v>Wo</v>
      </c>
      <c r="W21" s="51" t="s">
        <v>38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51" t="str">
        <f t="shared" si="2"/>
        <v>Wo</v>
      </c>
      <c r="AD21" s="65" t="s">
        <v>38</v>
      </c>
      <c r="AE21" s="65" t="s">
        <v>38</v>
      </c>
      <c r="AF21" s="65" t="s">
        <v>40</v>
      </c>
      <c r="AG21" s="65" t="s">
        <v>38</v>
      </c>
      <c r="AH21" s="65" t="s">
        <v>38</v>
      </c>
      <c r="AI21" s="65" t="s">
        <v>38</v>
      </c>
      <c r="AJ21" s="65" t="str">
        <f t="shared" si="2"/>
        <v>Wo</v>
      </c>
      <c r="AK21" s="65" t="s">
        <v>38</v>
      </c>
      <c r="AL21" s="65" t="s">
        <v>38</v>
      </c>
      <c r="AM21" s="65" t="s">
        <v>38</v>
      </c>
      <c r="AN21" s="65" t="s">
        <v>40</v>
      </c>
      <c r="AO21" s="65" t="s">
        <v>38</v>
      </c>
      <c r="AP21" s="77"/>
      <c r="AQ21" s="13"/>
      <c r="AR21" s="7">
        <v>14</v>
      </c>
      <c r="AS21" s="107">
        <v>1014</v>
      </c>
      <c r="AT21" s="107" t="str">
        <f t="shared" si="3"/>
        <v>May</v>
      </c>
      <c r="AU21" s="107" t="s">
        <v>14</v>
      </c>
      <c r="AV21" s="110">
        <f t="shared" si="4"/>
        <v>23</v>
      </c>
      <c r="AW21" s="110">
        <f t="shared" si="5"/>
        <v>0</v>
      </c>
      <c r="AX21" s="110">
        <f t="shared" si="6"/>
        <v>4</v>
      </c>
      <c r="AY21" s="110">
        <f t="shared" si="8"/>
        <v>4</v>
      </c>
      <c r="AZ21" s="113">
        <f t="shared" si="9"/>
        <v>31</v>
      </c>
      <c r="BA21" s="113">
        <f t="shared" si="10"/>
        <v>31</v>
      </c>
      <c r="BB21" s="116">
        <v>72000</v>
      </c>
      <c r="BC21" s="123">
        <f>MayReport[[#This Row],[SALARY]]/MayReport[[#This Row],[PAID DAYS]]</f>
        <v>2322.5806451612902</v>
      </c>
      <c r="BD21" s="119">
        <f>MayReport[[#This Row],[SALARY]]-MayReport[[#This Row],[ DEDUCTION]]</f>
        <v>69677.419354838712</v>
      </c>
      <c r="BE21" s="141"/>
      <c r="BF21" s="14"/>
      <c r="BG21" s="76"/>
      <c r="BH21" s="4"/>
      <c r="BI21" s="4"/>
      <c r="BJ21" s="4"/>
      <c r="BK21" s="4"/>
      <c r="BL21" s="4"/>
      <c r="BM21" s="4"/>
    </row>
    <row r="22" spans="4:65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7"/>
        <v>4</v>
      </c>
      <c r="K22" s="51" t="s">
        <v>38</v>
      </c>
      <c r="L22" s="51" t="s">
        <v>38</v>
      </c>
      <c r="M22" s="51" t="s">
        <v>38</v>
      </c>
      <c r="N22" s="51" t="s">
        <v>38</v>
      </c>
      <c r="O22" s="51" t="str">
        <f t="shared" si="2"/>
        <v>Wo</v>
      </c>
      <c r="P22" s="51" t="s">
        <v>38</v>
      </c>
      <c r="Q22" s="51" t="s">
        <v>38</v>
      </c>
      <c r="R22" s="51" t="s">
        <v>40</v>
      </c>
      <c r="S22" s="51" t="s">
        <v>38</v>
      </c>
      <c r="T22" s="51" t="s">
        <v>38</v>
      </c>
      <c r="U22" s="51" t="s">
        <v>38</v>
      </c>
      <c r="V22" s="51" t="str">
        <f t="shared" si="2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51" t="str">
        <f t="shared" si="2"/>
        <v>Wo</v>
      </c>
      <c r="AD22" s="65" t="s">
        <v>38</v>
      </c>
      <c r="AE22" s="65" t="s">
        <v>38</v>
      </c>
      <c r="AF22" s="65" t="s">
        <v>40</v>
      </c>
      <c r="AG22" s="65" t="s">
        <v>38</v>
      </c>
      <c r="AH22" s="65" t="s">
        <v>39</v>
      </c>
      <c r="AI22" s="65" t="s">
        <v>38</v>
      </c>
      <c r="AJ22" s="65" t="str">
        <f t="shared" si="2"/>
        <v>Wo</v>
      </c>
      <c r="AK22" s="65" t="s">
        <v>38</v>
      </c>
      <c r="AL22" s="65" t="s">
        <v>38</v>
      </c>
      <c r="AM22" s="65" t="s">
        <v>38</v>
      </c>
      <c r="AN22" s="65" t="s">
        <v>40</v>
      </c>
      <c r="AO22" s="65" t="s">
        <v>38</v>
      </c>
      <c r="AP22" s="77"/>
      <c r="AQ22" s="13"/>
      <c r="AR22" s="7">
        <v>15</v>
      </c>
      <c r="AS22" s="107">
        <v>1015</v>
      </c>
      <c r="AT22" s="107" t="str">
        <f t="shared" si="3"/>
        <v>May</v>
      </c>
      <c r="AU22" s="107" t="s">
        <v>15</v>
      </c>
      <c r="AV22" s="110">
        <f t="shared" si="4"/>
        <v>22</v>
      </c>
      <c r="AW22" s="110">
        <f t="shared" si="5"/>
        <v>1</v>
      </c>
      <c r="AX22" s="110">
        <f t="shared" si="6"/>
        <v>4</v>
      </c>
      <c r="AY22" s="110">
        <f t="shared" si="8"/>
        <v>4</v>
      </c>
      <c r="AZ22" s="113">
        <f t="shared" si="9"/>
        <v>31</v>
      </c>
      <c r="BA22" s="113">
        <f t="shared" si="10"/>
        <v>30</v>
      </c>
      <c r="BB22" s="116">
        <v>20000</v>
      </c>
      <c r="BC22" s="123">
        <f>MayReport[[#This Row],[SALARY]]/MayReport[[#This Row],[PAID DAYS]]</f>
        <v>666.66666666666663</v>
      </c>
      <c r="BD22" s="119">
        <f>MayReport[[#This Row],[SALARY]]-MayReport[[#This Row],[ DEDUCTION]]</f>
        <v>19333.333333333332</v>
      </c>
      <c r="BE22" s="141"/>
      <c r="BF22" s="14"/>
      <c r="BG22" s="76"/>
      <c r="BH22" s="4"/>
      <c r="BI22" s="4"/>
      <c r="BJ22" s="4"/>
      <c r="BK22" s="4"/>
      <c r="BL22" s="4"/>
      <c r="BM22" s="4"/>
    </row>
    <row r="23" spans="4:65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7"/>
        <v>4</v>
      </c>
      <c r="K23" s="51" t="s">
        <v>39</v>
      </c>
      <c r="L23" s="51" t="s">
        <v>38</v>
      </c>
      <c r="M23" s="51" t="s">
        <v>38</v>
      </c>
      <c r="N23" s="51" t="s">
        <v>38</v>
      </c>
      <c r="O23" s="51" t="str">
        <f t="shared" si="2"/>
        <v>Wo</v>
      </c>
      <c r="P23" s="51" t="s">
        <v>38</v>
      </c>
      <c r="Q23" s="51" t="s">
        <v>38</v>
      </c>
      <c r="R23" s="51" t="s">
        <v>40</v>
      </c>
      <c r="S23" s="51" t="s">
        <v>38</v>
      </c>
      <c r="T23" s="51" t="s">
        <v>38</v>
      </c>
      <c r="U23" s="51" t="s">
        <v>38</v>
      </c>
      <c r="V23" s="51" t="str">
        <f t="shared" si="2"/>
        <v>Wo</v>
      </c>
      <c r="W23" s="51" t="s">
        <v>38</v>
      </c>
      <c r="X23" s="51" t="s">
        <v>38</v>
      </c>
      <c r="Y23" s="51" t="s">
        <v>38</v>
      </c>
      <c r="Z23" s="51" t="s">
        <v>40</v>
      </c>
      <c r="AA23" s="51" t="s">
        <v>38</v>
      </c>
      <c r="AB23" s="51" t="s">
        <v>38</v>
      </c>
      <c r="AC23" s="51" t="str">
        <f t="shared" si="2"/>
        <v>Wo</v>
      </c>
      <c r="AD23" s="65" t="s">
        <v>38</v>
      </c>
      <c r="AE23" s="65" t="s">
        <v>38</v>
      </c>
      <c r="AF23" s="65" t="s">
        <v>40</v>
      </c>
      <c r="AG23" s="65" t="s">
        <v>38</v>
      </c>
      <c r="AH23" s="65" t="s">
        <v>38</v>
      </c>
      <c r="AI23" s="65" t="s">
        <v>38</v>
      </c>
      <c r="AJ23" s="65" t="str">
        <f t="shared" si="2"/>
        <v>Wo</v>
      </c>
      <c r="AK23" s="65" t="s">
        <v>38</v>
      </c>
      <c r="AL23" s="65" t="s">
        <v>38</v>
      </c>
      <c r="AM23" s="65" t="s">
        <v>38</v>
      </c>
      <c r="AN23" s="65" t="s">
        <v>40</v>
      </c>
      <c r="AO23" s="65" t="s">
        <v>38</v>
      </c>
      <c r="AP23" s="77"/>
      <c r="AQ23" s="13"/>
      <c r="AR23" s="7">
        <v>16</v>
      </c>
      <c r="AS23" s="107">
        <v>1016</v>
      </c>
      <c r="AT23" s="107" t="str">
        <f t="shared" si="3"/>
        <v>May</v>
      </c>
      <c r="AU23" s="107" t="s">
        <v>16</v>
      </c>
      <c r="AV23" s="110">
        <f t="shared" si="4"/>
        <v>22</v>
      </c>
      <c r="AW23" s="110">
        <f t="shared" si="5"/>
        <v>1</v>
      </c>
      <c r="AX23" s="110">
        <f t="shared" si="6"/>
        <v>4</v>
      </c>
      <c r="AY23" s="110">
        <f t="shared" si="8"/>
        <v>4</v>
      </c>
      <c r="AZ23" s="113">
        <f t="shared" si="9"/>
        <v>31</v>
      </c>
      <c r="BA23" s="113">
        <f t="shared" si="10"/>
        <v>30</v>
      </c>
      <c r="BB23" s="116">
        <v>56000</v>
      </c>
      <c r="BC23" s="123">
        <f>MayReport[[#This Row],[SALARY]]/MayReport[[#This Row],[PAID DAYS]]</f>
        <v>1866.6666666666667</v>
      </c>
      <c r="BD23" s="119">
        <f>MayReport[[#This Row],[SALARY]]-MayReport[[#This Row],[ DEDUCTION]]</f>
        <v>54133.333333333336</v>
      </c>
      <c r="BE23" s="141"/>
      <c r="BF23" s="14"/>
      <c r="BG23" s="76"/>
      <c r="BH23" s="4"/>
      <c r="BI23" s="4"/>
      <c r="BJ23" s="4"/>
      <c r="BK23" s="4"/>
      <c r="BL23" s="4"/>
      <c r="BM23" s="4"/>
    </row>
    <row r="24" spans="4:65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7"/>
        <v>4</v>
      </c>
      <c r="K24" s="51" t="s">
        <v>38</v>
      </c>
      <c r="L24" s="51" t="s">
        <v>38</v>
      </c>
      <c r="M24" s="51" t="s">
        <v>38</v>
      </c>
      <c r="N24" s="51" t="s">
        <v>39</v>
      </c>
      <c r="O24" s="51" t="str">
        <f t="shared" ref="O24:V27" si="11">IF(O$6="sun","Wo"," ")</f>
        <v>Wo</v>
      </c>
      <c r="P24" s="51" t="s">
        <v>38</v>
      </c>
      <c r="Q24" s="51" t="s">
        <v>38</v>
      </c>
      <c r="R24" s="51" t="s">
        <v>40</v>
      </c>
      <c r="S24" s="51" t="s">
        <v>39</v>
      </c>
      <c r="T24" s="51" t="s">
        <v>38</v>
      </c>
      <c r="U24" s="51" t="s">
        <v>38</v>
      </c>
      <c r="V24" s="51" t="str">
        <f t="shared" si="11"/>
        <v>Wo</v>
      </c>
      <c r="W24" s="51" t="s">
        <v>38</v>
      </c>
      <c r="X24" s="51" t="s">
        <v>39</v>
      </c>
      <c r="Y24" s="51" t="s">
        <v>39</v>
      </c>
      <c r="Z24" s="51" t="s">
        <v>40</v>
      </c>
      <c r="AA24" s="51" t="s">
        <v>38</v>
      </c>
      <c r="AB24" s="51" t="s">
        <v>38</v>
      </c>
      <c r="AC24" s="51" t="str">
        <f t="shared" ref="AC24:AJ27" si="12">IF(AC$6="sun","Wo"," ")</f>
        <v>Wo</v>
      </c>
      <c r="AD24" s="65" t="s">
        <v>38</v>
      </c>
      <c r="AE24" s="65" t="s">
        <v>38</v>
      </c>
      <c r="AF24" s="65" t="s">
        <v>40</v>
      </c>
      <c r="AG24" s="65" t="s">
        <v>38</v>
      </c>
      <c r="AH24" s="65" t="s">
        <v>39</v>
      </c>
      <c r="AI24" s="65" t="s">
        <v>38</v>
      </c>
      <c r="AJ24" s="65" t="str">
        <f t="shared" si="12"/>
        <v>Wo</v>
      </c>
      <c r="AK24" s="65" t="s">
        <v>38</v>
      </c>
      <c r="AL24" s="65" t="s">
        <v>38</v>
      </c>
      <c r="AM24" s="65" t="s">
        <v>38</v>
      </c>
      <c r="AN24" s="65" t="s">
        <v>40</v>
      </c>
      <c r="AO24" s="65" t="s">
        <v>38</v>
      </c>
      <c r="AP24" s="77"/>
      <c r="AQ24" s="13"/>
      <c r="AR24" s="7">
        <v>17</v>
      </c>
      <c r="AS24" s="107">
        <v>1017</v>
      </c>
      <c r="AT24" s="107" t="str">
        <f t="shared" si="3"/>
        <v>May</v>
      </c>
      <c r="AU24" s="107" t="s">
        <v>17</v>
      </c>
      <c r="AV24" s="110">
        <f t="shared" si="4"/>
        <v>18</v>
      </c>
      <c r="AW24" s="110">
        <f t="shared" si="5"/>
        <v>5</v>
      </c>
      <c r="AX24" s="110">
        <f t="shared" si="6"/>
        <v>4</v>
      </c>
      <c r="AY24" s="110">
        <f t="shared" si="8"/>
        <v>4</v>
      </c>
      <c r="AZ24" s="113">
        <f t="shared" si="9"/>
        <v>31</v>
      </c>
      <c r="BA24" s="113">
        <f t="shared" si="10"/>
        <v>26</v>
      </c>
      <c r="BB24" s="116">
        <v>35000</v>
      </c>
      <c r="BC24" s="123">
        <f>MayReport[[#This Row],[SALARY]]/MayReport[[#This Row],[PAID DAYS]]</f>
        <v>1346.1538461538462</v>
      </c>
      <c r="BD24" s="119">
        <f>MayReport[[#This Row],[SALARY]]-MayReport[[#This Row],[ DEDUCTION]]</f>
        <v>33653.846153846156</v>
      </c>
      <c r="BE24" s="141"/>
      <c r="BF24" s="14"/>
      <c r="BG24" s="76"/>
      <c r="BH24" s="4"/>
      <c r="BI24" s="4"/>
      <c r="BJ24" s="4"/>
      <c r="BK24" s="4"/>
      <c r="BL24" s="4"/>
      <c r="BM24" s="4"/>
    </row>
    <row r="25" spans="4:65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7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11"/>
        <v>Wo</v>
      </c>
      <c r="P25" s="51" t="s">
        <v>38</v>
      </c>
      <c r="Q25" s="51" t="s">
        <v>38</v>
      </c>
      <c r="R25" s="51" t="s">
        <v>40</v>
      </c>
      <c r="S25" s="51" t="s">
        <v>38</v>
      </c>
      <c r="T25" s="51" t="s">
        <v>38</v>
      </c>
      <c r="U25" s="51" t="s">
        <v>38</v>
      </c>
      <c r="V25" s="51" t="str">
        <f t="shared" si="11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39</v>
      </c>
      <c r="AB25" s="51" t="s">
        <v>38</v>
      </c>
      <c r="AC25" s="51" t="str">
        <f t="shared" si="12"/>
        <v>Wo</v>
      </c>
      <c r="AD25" s="65" t="s">
        <v>38</v>
      </c>
      <c r="AE25" s="65" t="s">
        <v>38</v>
      </c>
      <c r="AF25" s="65" t="s">
        <v>40</v>
      </c>
      <c r="AG25" s="65" t="s">
        <v>38</v>
      </c>
      <c r="AH25" s="65" t="s">
        <v>38</v>
      </c>
      <c r="AI25" s="65" t="s">
        <v>38</v>
      </c>
      <c r="AJ25" s="65" t="str">
        <f t="shared" si="12"/>
        <v>Wo</v>
      </c>
      <c r="AK25" s="65" t="s">
        <v>40</v>
      </c>
      <c r="AL25" s="65" t="s">
        <v>40</v>
      </c>
      <c r="AM25" s="65" t="s">
        <v>40</v>
      </c>
      <c r="AN25" s="65" t="s">
        <v>40</v>
      </c>
      <c r="AO25" s="65" t="s">
        <v>38</v>
      </c>
      <c r="AP25" s="77"/>
      <c r="AQ25" s="13"/>
      <c r="AR25" s="7">
        <v>18</v>
      </c>
      <c r="AS25" s="107">
        <v>1018</v>
      </c>
      <c r="AT25" s="107" t="str">
        <f t="shared" si="3"/>
        <v>May</v>
      </c>
      <c r="AU25" s="107" t="s">
        <v>18</v>
      </c>
      <c r="AV25" s="110">
        <f t="shared" si="4"/>
        <v>19</v>
      </c>
      <c r="AW25" s="110">
        <f t="shared" si="5"/>
        <v>1</v>
      </c>
      <c r="AX25" s="110">
        <f t="shared" si="6"/>
        <v>7</v>
      </c>
      <c r="AY25" s="110">
        <f t="shared" si="8"/>
        <v>4</v>
      </c>
      <c r="AZ25" s="113">
        <f t="shared" si="9"/>
        <v>31</v>
      </c>
      <c r="BA25" s="113">
        <f t="shared" si="10"/>
        <v>30</v>
      </c>
      <c r="BB25" s="116">
        <v>12000</v>
      </c>
      <c r="BC25" s="123">
        <f>MayReport[[#This Row],[SALARY]]/MayReport[[#This Row],[PAID DAYS]]</f>
        <v>400</v>
      </c>
      <c r="BD25" s="119">
        <f>MayReport[[#This Row],[SALARY]]-MayReport[[#This Row],[ DEDUCTION]]</f>
        <v>11600</v>
      </c>
      <c r="BE25" s="141"/>
      <c r="BF25" s="14"/>
      <c r="BG25" s="76"/>
      <c r="BH25" s="4"/>
      <c r="BI25" s="4"/>
      <c r="BJ25" s="4"/>
      <c r="BK25" s="4"/>
      <c r="BL25" s="4"/>
      <c r="BM25" s="4"/>
    </row>
    <row r="26" spans="4:65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7"/>
        <v>4</v>
      </c>
      <c r="K26" s="51" t="s">
        <v>38</v>
      </c>
      <c r="L26" s="51" t="s">
        <v>38</v>
      </c>
      <c r="M26" s="51" t="s">
        <v>38</v>
      </c>
      <c r="N26" s="51" t="s">
        <v>38</v>
      </c>
      <c r="O26" s="51" t="str">
        <f t="shared" si="11"/>
        <v>Wo</v>
      </c>
      <c r="P26" s="51" t="s">
        <v>38</v>
      </c>
      <c r="Q26" s="51" t="s">
        <v>38</v>
      </c>
      <c r="R26" s="51" t="s">
        <v>40</v>
      </c>
      <c r="S26" s="51" t="s">
        <v>38</v>
      </c>
      <c r="T26" s="51" t="s">
        <v>38</v>
      </c>
      <c r="U26" s="51" t="s">
        <v>38</v>
      </c>
      <c r="V26" s="51" t="str">
        <f t="shared" si="11"/>
        <v>Wo</v>
      </c>
      <c r="W26" s="51" t="s">
        <v>38</v>
      </c>
      <c r="X26" s="51" t="s">
        <v>38</v>
      </c>
      <c r="Y26" s="51" t="s">
        <v>38</v>
      </c>
      <c r="Z26" s="51" t="s">
        <v>40</v>
      </c>
      <c r="AA26" s="51" t="s">
        <v>38</v>
      </c>
      <c r="AB26" s="51" t="s">
        <v>38</v>
      </c>
      <c r="AC26" s="51" t="str">
        <f t="shared" si="12"/>
        <v>Wo</v>
      </c>
      <c r="AD26" s="65" t="s">
        <v>38</v>
      </c>
      <c r="AE26" s="65" t="s">
        <v>38</v>
      </c>
      <c r="AF26" s="65" t="s">
        <v>40</v>
      </c>
      <c r="AG26" s="65" t="s">
        <v>38</v>
      </c>
      <c r="AH26" s="65" t="s">
        <v>38</v>
      </c>
      <c r="AI26" s="65" t="s">
        <v>38</v>
      </c>
      <c r="AJ26" s="65" t="str">
        <f t="shared" si="12"/>
        <v>Wo</v>
      </c>
      <c r="AK26" s="65" t="s">
        <v>38</v>
      </c>
      <c r="AL26" s="65" t="s">
        <v>38</v>
      </c>
      <c r="AM26" s="65" t="s">
        <v>38</v>
      </c>
      <c r="AN26" s="65" t="s">
        <v>40</v>
      </c>
      <c r="AO26" s="65" t="s">
        <v>38</v>
      </c>
      <c r="AP26" s="77"/>
      <c r="AQ26" s="13"/>
      <c r="AR26" s="7">
        <v>19</v>
      </c>
      <c r="AS26" s="107">
        <v>1019</v>
      </c>
      <c r="AT26" s="107" t="str">
        <f t="shared" si="3"/>
        <v>May</v>
      </c>
      <c r="AU26" s="107" t="s">
        <v>19</v>
      </c>
      <c r="AV26" s="110">
        <f t="shared" si="4"/>
        <v>23</v>
      </c>
      <c r="AW26" s="110">
        <f t="shared" si="5"/>
        <v>0</v>
      </c>
      <c r="AX26" s="110">
        <f t="shared" si="6"/>
        <v>4</v>
      </c>
      <c r="AY26" s="110">
        <f t="shared" si="8"/>
        <v>4</v>
      </c>
      <c r="AZ26" s="113">
        <f t="shared" si="9"/>
        <v>31</v>
      </c>
      <c r="BA26" s="113">
        <f t="shared" si="10"/>
        <v>31</v>
      </c>
      <c r="BB26" s="116">
        <v>19000</v>
      </c>
      <c r="BC26" s="123">
        <f>MayReport[[#This Row],[SALARY]]/MayReport[[#This Row],[PAID DAYS]]</f>
        <v>612.90322580645159</v>
      </c>
      <c r="BD26" s="119">
        <f>MayReport[[#This Row],[SALARY]]-MayReport[[#This Row],[ DEDUCTION]]</f>
        <v>18387.096774193549</v>
      </c>
      <c r="BE26" s="141"/>
      <c r="BF26" s="14"/>
      <c r="BG26" s="76"/>
      <c r="BH26" s="4"/>
      <c r="BI26" s="4"/>
      <c r="BJ26" s="4"/>
      <c r="BK26" s="4"/>
      <c r="BL26" s="4"/>
      <c r="BM26" s="4"/>
    </row>
    <row r="27" spans="4:65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7"/>
        <v>4</v>
      </c>
      <c r="K27" s="9" t="s">
        <v>38</v>
      </c>
      <c r="L27" s="9" t="s">
        <v>38</v>
      </c>
      <c r="M27" s="9" t="s">
        <v>38</v>
      </c>
      <c r="N27" s="9" t="s">
        <v>38</v>
      </c>
      <c r="O27" s="9" t="str">
        <f t="shared" si="11"/>
        <v>Wo</v>
      </c>
      <c r="P27" s="9" t="s">
        <v>38</v>
      </c>
      <c r="Q27" s="9" t="s">
        <v>38</v>
      </c>
      <c r="R27" s="51" t="s">
        <v>40</v>
      </c>
      <c r="S27" s="9" t="s">
        <v>38</v>
      </c>
      <c r="T27" s="9" t="s">
        <v>38</v>
      </c>
      <c r="U27" s="9" t="s">
        <v>38</v>
      </c>
      <c r="V27" s="9" t="str">
        <f t="shared" si="11"/>
        <v>Wo</v>
      </c>
      <c r="W27" s="9" t="s">
        <v>38</v>
      </c>
      <c r="X27" s="9" t="s">
        <v>38</v>
      </c>
      <c r="Y27" s="9" t="s">
        <v>38</v>
      </c>
      <c r="Z27" s="51" t="s">
        <v>40</v>
      </c>
      <c r="AA27" s="9" t="s">
        <v>38</v>
      </c>
      <c r="AB27" s="9" t="s">
        <v>38</v>
      </c>
      <c r="AC27" s="9" t="str">
        <f t="shared" si="12"/>
        <v>Wo</v>
      </c>
      <c r="AD27" s="17" t="s">
        <v>39</v>
      </c>
      <c r="AE27" s="17" t="s">
        <v>38</v>
      </c>
      <c r="AF27" s="65" t="s">
        <v>40</v>
      </c>
      <c r="AG27" s="17" t="s">
        <v>38</v>
      </c>
      <c r="AH27" s="17" t="s">
        <v>38</v>
      </c>
      <c r="AI27" s="17" t="s">
        <v>38</v>
      </c>
      <c r="AJ27" s="17" t="str">
        <f t="shared" si="12"/>
        <v>Wo</v>
      </c>
      <c r="AK27" s="17" t="s">
        <v>38</v>
      </c>
      <c r="AL27" s="17" t="s">
        <v>38</v>
      </c>
      <c r="AM27" s="17" t="s">
        <v>38</v>
      </c>
      <c r="AN27" s="65" t="s">
        <v>40</v>
      </c>
      <c r="AO27" s="65" t="s">
        <v>38</v>
      </c>
      <c r="AP27" s="77"/>
      <c r="AQ27" s="13"/>
      <c r="AR27" s="7">
        <v>20</v>
      </c>
      <c r="AS27" s="107">
        <v>1020</v>
      </c>
      <c r="AT27" s="107" t="str">
        <f t="shared" si="3"/>
        <v>May</v>
      </c>
      <c r="AU27" s="107" t="s">
        <v>20</v>
      </c>
      <c r="AV27" s="110">
        <f t="shared" si="4"/>
        <v>22</v>
      </c>
      <c r="AW27" s="110">
        <f t="shared" si="5"/>
        <v>1</v>
      </c>
      <c r="AX27" s="110">
        <f t="shared" si="6"/>
        <v>4</v>
      </c>
      <c r="AY27" s="110">
        <f t="shared" si="8"/>
        <v>4</v>
      </c>
      <c r="AZ27" s="113">
        <f t="shared" si="9"/>
        <v>31</v>
      </c>
      <c r="BA27" s="113">
        <f t="shared" si="10"/>
        <v>30</v>
      </c>
      <c r="BB27" s="116">
        <v>21000</v>
      </c>
      <c r="BC27" s="123">
        <f>MayReport[[#This Row],[SALARY]]/MayReport[[#This Row],[PAID DAYS]]</f>
        <v>700</v>
      </c>
      <c r="BD27" s="119">
        <f>MayReport[[#This Row],[SALARY]]-MayReport[[#This Row],[ DEDUCTION]]</f>
        <v>20300</v>
      </c>
      <c r="BE27" s="141"/>
      <c r="BF27" s="14"/>
      <c r="BG27" s="76"/>
      <c r="BH27" s="4"/>
      <c r="BI27" s="4"/>
      <c r="BJ27" s="4"/>
      <c r="BK27" s="4"/>
      <c r="BL27" s="4"/>
      <c r="BM27" s="4"/>
    </row>
    <row r="28" spans="4:65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75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76"/>
      <c r="BH28" s="4"/>
      <c r="BI28" s="4"/>
      <c r="BJ28" s="4"/>
      <c r="BK28" s="4"/>
      <c r="BL28" s="4"/>
      <c r="BM28" s="4"/>
    </row>
    <row r="29" spans="4:65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75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76"/>
      <c r="BH29" s="4"/>
      <c r="BI29" s="4"/>
      <c r="BJ29" s="4"/>
      <c r="BK29" s="4"/>
      <c r="BL29" s="4"/>
      <c r="BM29" s="4"/>
    </row>
    <row r="30" spans="4:65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75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76"/>
      <c r="BH30" s="4"/>
      <c r="BI30" s="4"/>
      <c r="BJ30" s="4"/>
      <c r="BK30" s="4"/>
      <c r="BL30" s="4"/>
      <c r="BM30" s="4"/>
    </row>
    <row r="31" spans="4:65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75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76"/>
      <c r="BH31" s="4"/>
      <c r="BI31" s="4"/>
      <c r="BJ31" s="4"/>
      <c r="BK31" s="4"/>
      <c r="BL31" s="4"/>
      <c r="BM31" s="4"/>
    </row>
    <row r="32" spans="4:65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75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76"/>
      <c r="BH32" s="4"/>
      <c r="BI32" s="4"/>
      <c r="BJ32" s="4"/>
      <c r="BK32" s="4"/>
      <c r="BL32" s="4"/>
      <c r="BM32" s="4"/>
    </row>
    <row r="33" spans="1:65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75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76"/>
      <c r="BH33" s="4"/>
      <c r="BI33" s="4"/>
      <c r="BJ33" s="4"/>
      <c r="BK33" s="4"/>
      <c r="BL33" s="4"/>
      <c r="BM33" s="4"/>
    </row>
    <row r="34" spans="1:65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75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76"/>
      <c r="BH34" s="4"/>
      <c r="BI34" s="4"/>
      <c r="BJ34" s="4"/>
      <c r="BK34" s="4"/>
      <c r="BL34" s="4"/>
      <c r="BM34" s="4"/>
    </row>
    <row r="35" spans="1:65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75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76"/>
      <c r="BH35" s="4"/>
      <c r="BI35" s="4"/>
      <c r="BJ35" s="4"/>
      <c r="BK35" s="4"/>
      <c r="BL35" s="4"/>
      <c r="BM35" s="4"/>
    </row>
    <row r="36" spans="1:65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0"/>
      <c r="BF36" s="80"/>
      <c r="BG36" s="81"/>
      <c r="BH36" s="4"/>
      <c r="BI36" s="4"/>
      <c r="BJ36" s="4"/>
      <c r="BK36" s="4"/>
      <c r="BL36" s="4"/>
      <c r="BM36" s="4"/>
    </row>
    <row r="37" spans="1:65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</row>
    <row r="38" spans="1:65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</row>
    <row r="39" spans="1:65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</row>
    <row r="40" spans="1:65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</row>
    <row r="41" spans="1:65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</row>
    <row r="42" spans="1:65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</row>
    <row r="43" spans="1:65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</row>
    <row r="44" spans="1:65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</row>
    <row r="45" spans="1:65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</row>
    <row r="46" spans="1:65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</row>
    <row r="47" spans="1:65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</row>
    <row r="48" spans="1:65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</row>
    <row r="49" spans="42:65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</row>
    <row r="50" spans="42:65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</row>
    <row r="51" spans="42:65" ht="30" customHeight="1">
      <c r="AP51" s="4"/>
      <c r="AQ51" s="5"/>
    </row>
    <row r="52" spans="42:65" ht="30" customHeight="1">
      <c r="AP52" s="4"/>
      <c r="AQ52" s="5"/>
    </row>
    <row r="53" spans="42:65" ht="30" customHeight="1">
      <c r="AP53" s="4"/>
      <c r="AQ53" s="5"/>
    </row>
    <row r="54" spans="42:65" ht="30" customHeight="1">
      <c r="AP54" s="4"/>
      <c r="AQ54" s="5"/>
    </row>
    <row r="55" spans="42:65" ht="30" customHeight="1">
      <c r="AP55" s="4"/>
      <c r="AQ55" s="5"/>
    </row>
    <row r="56" spans="42:65" ht="30" customHeight="1">
      <c r="AP56" s="4"/>
      <c r="AQ56" s="5"/>
    </row>
    <row r="57" spans="42:65" ht="30" customHeight="1">
      <c r="AP57" s="4"/>
      <c r="AQ57" s="5"/>
    </row>
    <row r="58" spans="42:65" ht="30" customHeight="1">
      <c r="AP58" s="4"/>
      <c r="AQ58" s="5"/>
    </row>
    <row r="59" spans="42:65" ht="30" customHeight="1">
      <c r="AP59" s="4"/>
      <c r="AQ59" s="5"/>
    </row>
    <row r="60" spans="42:65" ht="30" customHeight="1">
      <c r="AP60" s="4"/>
      <c r="AQ60" s="5"/>
    </row>
    <row r="61" spans="42:65" ht="30" customHeight="1">
      <c r="AP61" s="4"/>
      <c r="AQ61" s="5"/>
    </row>
    <row r="62" spans="42:65" ht="30" customHeight="1"/>
    <row r="63" spans="42:65" ht="30" customHeight="1"/>
    <row r="64" spans="42:65" ht="30" customHeight="1"/>
    <row r="65" ht="30" customHeight="1"/>
  </sheetData>
  <mergeCells count="1">
    <mergeCell ref="G6:I6"/>
  </mergeCells>
  <conditionalFormatting sqref="J6:AO27">
    <cfRule type="containsText" dxfId="36" priority="6" operator="containsText" text="WO">
      <formula>NOT(ISERROR(SEARCH("WO",J6)))</formula>
    </cfRule>
  </conditionalFormatting>
  <conditionalFormatting sqref="K8:AO27">
    <cfRule type="containsText" dxfId="35" priority="1" operator="containsText" text="L">
      <formula>NOT(ISERROR(SEARCH("L",K8)))</formula>
    </cfRule>
    <cfRule type="containsText" dxfId="34" priority="2" operator="containsText" text="A">
      <formula>NOT(ISERROR(SEARCH("A",K8)))</formula>
    </cfRule>
    <cfRule type="containsText" dxfId="33" priority="3" operator="containsText" text="P">
      <formula>NOT(ISERROR(SEARCH("P",K8)))</formula>
    </cfRule>
    <cfRule type="containsText" dxfId="32" priority="4" operator="containsText" text="P">
      <formula>NOT(ISERROR(SEARCH("P",K8)))</formula>
    </cfRule>
    <cfRule type="containsText" dxfId="31" priority="5" operator="containsText" text="P">
      <formula>NOT(ISERROR(SEARCH("P",K8)))</formula>
    </cfRule>
  </conditionalFormatting>
  <dataValidations count="1">
    <dataValidation type="list" allowBlank="1" showInputMessage="1" showErrorMessage="1" sqref="K8:N27 AD8:AI27 P8:U27 W8:AB27 AK8:AO27" xr:uid="{DBD7A458-EEEF-43D2-ABF7-271446141582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6999A1-C73A-4B80-BA03-90295B7A621E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B4ABEE9-B486-437A-9886-F72806A906B0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MAY!AV8:AY8</xm:f>
              <xm:sqref>BE8</xm:sqref>
            </x14:sparkline>
            <x14:sparkline>
              <xm:f>MAY!AV9:AY9</xm:f>
              <xm:sqref>BE9</xm:sqref>
            </x14:sparkline>
            <x14:sparkline>
              <xm:f>MAY!AV10:AY10</xm:f>
              <xm:sqref>BE10</xm:sqref>
            </x14:sparkline>
            <x14:sparkline>
              <xm:f>MAY!AV11:AY11</xm:f>
              <xm:sqref>BE11</xm:sqref>
            </x14:sparkline>
            <x14:sparkline>
              <xm:f>MAY!AV12:AY12</xm:f>
              <xm:sqref>BE12</xm:sqref>
            </x14:sparkline>
            <x14:sparkline>
              <xm:f>MAY!AV13:AY13</xm:f>
              <xm:sqref>BE13</xm:sqref>
            </x14:sparkline>
            <x14:sparkline>
              <xm:f>MAY!AV14:AY14</xm:f>
              <xm:sqref>BE14</xm:sqref>
            </x14:sparkline>
            <x14:sparkline>
              <xm:f>MAY!AV15:AY15</xm:f>
              <xm:sqref>BE15</xm:sqref>
            </x14:sparkline>
            <x14:sparkline>
              <xm:f>MAY!AV16:AY16</xm:f>
              <xm:sqref>BE16</xm:sqref>
            </x14:sparkline>
            <x14:sparkline>
              <xm:f>MAY!AV17:AY17</xm:f>
              <xm:sqref>BE17</xm:sqref>
            </x14:sparkline>
            <x14:sparkline>
              <xm:f>MAY!AV18:AY18</xm:f>
              <xm:sqref>BE18</xm:sqref>
            </x14:sparkline>
            <x14:sparkline>
              <xm:f>MAY!AV19:AY19</xm:f>
              <xm:sqref>BE19</xm:sqref>
            </x14:sparkline>
            <x14:sparkline>
              <xm:f>MAY!AV20:AY20</xm:f>
              <xm:sqref>BE20</xm:sqref>
            </x14:sparkline>
            <x14:sparkline>
              <xm:f>MAY!AV21:AY21</xm:f>
              <xm:sqref>BE21</xm:sqref>
            </x14:sparkline>
            <x14:sparkline>
              <xm:f>MAY!AV22:AY22</xm:f>
              <xm:sqref>BE22</xm:sqref>
            </x14:sparkline>
            <x14:sparkline>
              <xm:f>MAY!AV23:AY23</xm:f>
              <xm:sqref>BE23</xm:sqref>
            </x14:sparkline>
            <x14:sparkline>
              <xm:f>MAY!AV24:AY24</xm:f>
              <xm:sqref>BE24</xm:sqref>
            </x14:sparkline>
            <x14:sparkline>
              <xm:f>MAY!AV25:AY25</xm:f>
              <xm:sqref>BE25</xm:sqref>
            </x14:sparkline>
            <x14:sparkline>
              <xm:f>MAY!AV26:AY26</xm:f>
              <xm:sqref>BE26</xm:sqref>
            </x14:sparkline>
            <x14:sparkline>
              <xm:f>MAY!AV27:AY27</xm:f>
              <xm:sqref>BE27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1ABC-BE23-42D9-9EE6-CCCC0DFBB6C4}">
  <dimension ref="A1:BM65"/>
  <sheetViews>
    <sheetView topLeftCell="R6" zoomScale="50" zoomScaleNormal="50" workbookViewId="0">
      <selection activeCell="G6" sqref="G6:AO27"/>
    </sheetView>
  </sheetViews>
  <sheetFormatPr defaultRowHeight="14.25"/>
  <cols>
    <col min="1" max="6" width="9.140625" style="26"/>
    <col min="7" max="7" width="14.140625" style="26" customWidth="1"/>
    <col min="8" max="8" width="15.28515625" style="26" customWidth="1"/>
    <col min="9" max="9" width="25.5703125" style="26" customWidth="1"/>
    <col min="10" max="14" width="12" style="26" customWidth="1"/>
    <col min="15" max="15" width="21.42578125" style="26" customWidth="1"/>
    <col min="16" max="21" width="12" style="26" customWidth="1"/>
    <col min="22" max="22" width="20.7109375" style="26" customWidth="1"/>
    <col min="23" max="25" width="12" style="26" customWidth="1"/>
    <col min="26" max="28" width="9.140625" style="26"/>
    <col min="29" max="29" width="20.7109375" style="26" customWidth="1"/>
    <col min="30" max="35" width="12.28515625" style="26" customWidth="1"/>
    <col min="36" max="36" width="20.7109375" style="26" customWidth="1"/>
    <col min="37" max="41" width="12.28515625" style="26" customWidth="1"/>
    <col min="42" max="42" width="9.140625" style="26"/>
    <col min="43" max="43" width="9.140625" style="29"/>
    <col min="44" max="44" width="14" style="29" customWidth="1"/>
    <col min="45" max="46" width="22" style="29" customWidth="1"/>
    <col min="47" max="47" width="39.7109375" style="29" customWidth="1"/>
    <col min="48" max="50" width="15.140625" style="29" customWidth="1"/>
    <col min="51" max="51" width="16" style="29" customWidth="1"/>
    <col min="52" max="53" width="16.85546875" style="29" customWidth="1"/>
    <col min="54" max="54" width="30.28515625" style="29" customWidth="1"/>
    <col min="55" max="55" width="17.7109375" style="29" customWidth="1"/>
    <col min="56" max="56" width="18.5703125" style="29" customWidth="1"/>
    <col min="57" max="57" width="23.42578125" style="26" customWidth="1"/>
    <col min="58" max="16384" width="9.140625" style="26"/>
  </cols>
  <sheetData>
    <row r="1" spans="4:65" ht="30" customHeight="1">
      <c r="AP1" s="27"/>
      <c r="AQ1" s="28"/>
      <c r="BF1" s="27"/>
      <c r="BG1" s="27"/>
      <c r="BH1" s="30"/>
      <c r="BI1" s="30"/>
      <c r="BJ1" s="30"/>
      <c r="BK1" s="30"/>
      <c r="BL1" s="30"/>
      <c r="BM1" s="30"/>
    </row>
    <row r="2" spans="4:65" ht="30" customHeight="1">
      <c r="AP2" s="27"/>
      <c r="AQ2" s="28"/>
      <c r="BF2" s="27"/>
      <c r="BG2" s="27"/>
      <c r="BH2" s="30"/>
      <c r="BI2" s="30"/>
      <c r="BJ2" s="30"/>
      <c r="BK2" s="30"/>
      <c r="BL2" s="30"/>
      <c r="BM2" s="30"/>
    </row>
    <row r="3" spans="4:65" ht="30" customHeight="1"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7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7"/>
      <c r="BF3" s="27"/>
      <c r="BG3" s="27"/>
      <c r="BH3" s="30"/>
      <c r="BI3" s="30"/>
      <c r="BJ3" s="30"/>
      <c r="BK3" s="30"/>
      <c r="BL3" s="30"/>
      <c r="BM3" s="30"/>
    </row>
    <row r="4" spans="4:65" ht="30" customHeight="1">
      <c r="D4" s="25"/>
      <c r="E4" s="25"/>
      <c r="F4" s="25"/>
      <c r="G4" s="12" t="s">
        <v>24</v>
      </c>
      <c r="H4" s="31"/>
      <c r="I4" s="32">
        <v>45809</v>
      </c>
      <c r="J4" s="33"/>
      <c r="K4" s="12">
        <f>(DATEDIF(I4,O4,"D"))+1</f>
        <v>30</v>
      </c>
      <c r="L4" s="50" t="str">
        <f>TEXT(I4,"MMMM")</f>
        <v>June</v>
      </c>
      <c r="M4" s="12" t="s">
        <v>28</v>
      </c>
      <c r="N4" s="34"/>
      <c r="O4" s="32">
        <f>EOMONTH(I4,0)</f>
        <v>45838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7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7"/>
      <c r="BF4" s="27"/>
      <c r="BG4" s="27"/>
      <c r="BH4" s="30"/>
      <c r="BI4" s="30"/>
      <c r="BJ4" s="30"/>
      <c r="BK4" s="30"/>
      <c r="BL4" s="30"/>
      <c r="BM4" s="30"/>
    </row>
    <row r="5" spans="4:65" ht="30" customHeight="1" thickBot="1"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7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7"/>
      <c r="BF5" s="27"/>
      <c r="BG5" s="27"/>
      <c r="BH5" s="30"/>
      <c r="BI5" s="30"/>
      <c r="BJ5" s="30"/>
      <c r="BK5" s="30"/>
      <c r="BL5" s="30"/>
      <c r="BM5" s="30"/>
    </row>
    <row r="6" spans="4:65" ht="48" customHeight="1">
      <c r="D6" s="25"/>
      <c r="E6" s="25"/>
      <c r="F6" s="25"/>
      <c r="G6" s="150" t="s">
        <v>27</v>
      </c>
      <c r="H6" s="151"/>
      <c r="I6" s="152"/>
      <c r="J6" s="35" t="s">
        <v>25</v>
      </c>
      <c r="K6" s="36" t="str">
        <f>TEXT(K7,"DDD")</f>
        <v>Wed</v>
      </c>
      <c r="L6" s="36" t="str">
        <f t="shared" ref="L6:AO6" si="0">TEXT(L7,"DDD")</f>
        <v>Thu</v>
      </c>
      <c r="M6" s="36" t="str">
        <f t="shared" si="0"/>
        <v>Fri</v>
      </c>
      <c r="N6" s="36" t="str">
        <f t="shared" si="0"/>
        <v>Sat</v>
      </c>
      <c r="O6" s="36" t="str">
        <f t="shared" si="0"/>
        <v>Sun</v>
      </c>
      <c r="P6" s="36" t="str">
        <f t="shared" si="0"/>
        <v>Mon</v>
      </c>
      <c r="Q6" s="36" t="str">
        <f t="shared" si="0"/>
        <v>Tue</v>
      </c>
      <c r="R6" s="36" t="str">
        <f t="shared" si="0"/>
        <v>Wed</v>
      </c>
      <c r="S6" s="36" t="str">
        <f t="shared" si="0"/>
        <v>Thu</v>
      </c>
      <c r="T6" s="36" t="str">
        <f t="shared" si="0"/>
        <v>Fri</v>
      </c>
      <c r="U6" s="36" t="str">
        <f t="shared" si="0"/>
        <v>Sat</v>
      </c>
      <c r="V6" s="36" t="str">
        <f t="shared" si="0"/>
        <v>Sun</v>
      </c>
      <c r="W6" s="36" t="str">
        <f t="shared" si="0"/>
        <v>Mon</v>
      </c>
      <c r="X6" s="36" t="str">
        <f t="shared" si="0"/>
        <v>Tue</v>
      </c>
      <c r="Y6" s="36" t="str">
        <f t="shared" si="0"/>
        <v>Wed</v>
      </c>
      <c r="Z6" s="36" t="str">
        <f t="shared" si="0"/>
        <v>Thu</v>
      </c>
      <c r="AA6" s="36" t="str">
        <f t="shared" si="0"/>
        <v>Fri</v>
      </c>
      <c r="AB6" s="36" t="str">
        <f t="shared" si="0"/>
        <v>Sat</v>
      </c>
      <c r="AC6" s="36" t="str">
        <f t="shared" si="0"/>
        <v>Sun</v>
      </c>
      <c r="AD6" s="36" t="str">
        <f t="shared" si="0"/>
        <v>Mon</v>
      </c>
      <c r="AE6" s="36" t="str">
        <f t="shared" si="0"/>
        <v>Tue</v>
      </c>
      <c r="AF6" s="36" t="str">
        <f t="shared" si="0"/>
        <v>Wed</v>
      </c>
      <c r="AG6" s="36" t="str">
        <f t="shared" si="0"/>
        <v>Thu</v>
      </c>
      <c r="AH6" s="36" t="str">
        <f t="shared" si="0"/>
        <v>Fri</v>
      </c>
      <c r="AI6" s="36" t="str">
        <f t="shared" si="0"/>
        <v>Sat</v>
      </c>
      <c r="AJ6" s="36" t="str">
        <f t="shared" si="0"/>
        <v>Sun</v>
      </c>
      <c r="AK6" s="36" t="str">
        <f t="shared" si="0"/>
        <v>Mon</v>
      </c>
      <c r="AL6" s="36" t="str">
        <f t="shared" si="0"/>
        <v>Tue</v>
      </c>
      <c r="AM6" s="36" t="str">
        <f t="shared" si="0"/>
        <v>Wed</v>
      </c>
      <c r="AN6" s="36" t="str">
        <f t="shared" si="0"/>
        <v>Thu</v>
      </c>
      <c r="AO6" s="37" t="str">
        <f t="shared" si="0"/>
        <v>Fri</v>
      </c>
      <c r="AP6" s="27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7"/>
      <c r="BF6" s="27"/>
      <c r="BG6" s="27"/>
      <c r="BH6" s="30"/>
      <c r="BI6" s="30"/>
      <c r="BJ6" s="30"/>
      <c r="BK6" s="30"/>
      <c r="BL6" s="30"/>
      <c r="BM6" s="30"/>
    </row>
    <row r="7" spans="4:65" ht="48" customHeight="1" thickBot="1">
      <c r="D7" s="25"/>
      <c r="E7" s="25"/>
      <c r="F7" s="25"/>
      <c r="G7" s="38" t="s">
        <v>26</v>
      </c>
      <c r="H7" s="143" t="s">
        <v>21</v>
      </c>
      <c r="I7" s="39" t="s">
        <v>22</v>
      </c>
      <c r="J7" s="38" t="s">
        <v>23</v>
      </c>
      <c r="K7" s="144">
        <v>45658</v>
      </c>
      <c r="L7" s="144">
        <f t="shared" ref="L7:AO7" si="1">IF(K7&lt;$O$4,K7+1,"")</f>
        <v>45659</v>
      </c>
      <c r="M7" s="144">
        <f t="shared" si="1"/>
        <v>45660</v>
      </c>
      <c r="N7" s="144">
        <f t="shared" si="1"/>
        <v>45661</v>
      </c>
      <c r="O7" s="144">
        <f t="shared" si="1"/>
        <v>45662</v>
      </c>
      <c r="P7" s="144">
        <f t="shared" si="1"/>
        <v>45663</v>
      </c>
      <c r="Q7" s="144">
        <f t="shared" si="1"/>
        <v>45664</v>
      </c>
      <c r="R7" s="144">
        <f t="shared" si="1"/>
        <v>45665</v>
      </c>
      <c r="S7" s="144">
        <f t="shared" si="1"/>
        <v>45666</v>
      </c>
      <c r="T7" s="144">
        <f t="shared" si="1"/>
        <v>45667</v>
      </c>
      <c r="U7" s="144">
        <f t="shared" si="1"/>
        <v>45668</v>
      </c>
      <c r="V7" s="144">
        <f t="shared" si="1"/>
        <v>45669</v>
      </c>
      <c r="W7" s="144">
        <f t="shared" si="1"/>
        <v>45670</v>
      </c>
      <c r="X7" s="144">
        <f t="shared" si="1"/>
        <v>45671</v>
      </c>
      <c r="Y7" s="144">
        <f t="shared" si="1"/>
        <v>45672</v>
      </c>
      <c r="Z7" s="144">
        <f t="shared" si="1"/>
        <v>45673</v>
      </c>
      <c r="AA7" s="144">
        <f t="shared" si="1"/>
        <v>45674</v>
      </c>
      <c r="AB7" s="144">
        <f t="shared" si="1"/>
        <v>45675</v>
      </c>
      <c r="AC7" s="144">
        <f t="shared" si="1"/>
        <v>45676</v>
      </c>
      <c r="AD7" s="144">
        <f t="shared" si="1"/>
        <v>45677</v>
      </c>
      <c r="AE7" s="144">
        <f t="shared" si="1"/>
        <v>45678</v>
      </c>
      <c r="AF7" s="144">
        <f t="shared" si="1"/>
        <v>45679</v>
      </c>
      <c r="AG7" s="144">
        <f t="shared" si="1"/>
        <v>45680</v>
      </c>
      <c r="AH7" s="144">
        <f t="shared" si="1"/>
        <v>45681</v>
      </c>
      <c r="AI7" s="144">
        <f t="shared" si="1"/>
        <v>45682</v>
      </c>
      <c r="AJ7" s="144">
        <f t="shared" si="1"/>
        <v>45683</v>
      </c>
      <c r="AK7" s="144">
        <f t="shared" si="1"/>
        <v>45684</v>
      </c>
      <c r="AL7" s="144">
        <f t="shared" si="1"/>
        <v>45685</v>
      </c>
      <c r="AM7" s="144">
        <f t="shared" si="1"/>
        <v>45686</v>
      </c>
      <c r="AN7" s="144">
        <f t="shared" si="1"/>
        <v>45687</v>
      </c>
      <c r="AO7" s="40">
        <f t="shared" si="1"/>
        <v>45688</v>
      </c>
      <c r="AP7" s="41"/>
      <c r="AQ7" s="28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9" t="s">
        <v>41</v>
      </c>
      <c r="BE7" s="138" t="s">
        <v>37</v>
      </c>
      <c r="BF7" s="27"/>
      <c r="BG7" s="27"/>
      <c r="BH7" s="30"/>
      <c r="BI7" s="30"/>
      <c r="BJ7" s="30"/>
      <c r="BK7" s="30"/>
      <c r="BL7" s="30"/>
      <c r="BM7" s="30"/>
    </row>
    <row r="8" spans="4:65" ht="30" customHeight="1">
      <c r="D8" s="25"/>
      <c r="E8" s="25"/>
      <c r="F8" s="25"/>
      <c r="G8" s="42">
        <v>1</v>
      </c>
      <c r="H8" s="145">
        <v>1001</v>
      </c>
      <c r="I8" s="11" t="s">
        <v>1</v>
      </c>
      <c r="J8" s="42">
        <f>COUNTIF($K$6:$AO$6,"sun")</f>
        <v>4</v>
      </c>
      <c r="K8" s="145" t="s">
        <v>38</v>
      </c>
      <c r="L8" s="145" t="s">
        <v>38</v>
      </c>
      <c r="M8" s="145" t="s">
        <v>38</v>
      </c>
      <c r="N8" s="145" t="s">
        <v>38</v>
      </c>
      <c r="O8" s="145" t="str">
        <f t="shared" ref="O8:AJ23" si="2">IF(O$6="sun","Wo"," ")</f>
        <v>Wo</v>
      </c>
      <c r="P8" s="145" t="s">
        <v>38</v>
      </c>
      <c r="Q8" s="145" t="s">
        <v>38</v>
      </c>
      <c r="R8" s="145" t="s">
        <v>40</v>
      </c>
      <c r="S8" s="145" t="s">
        <v>38</v>
      </c>
      <c r="T8" s="145" t="s">
        <v>38</v>
      </c>
      <c r="U8" s="145" t="s">
        <v>38</v>
      </c>
      <c r="V8" s="145" t="str">
        <f t="shared" si="2"/>
        <v>Wo</v>
      </c>
      <c r="W8" s="145" t="s">
        <v>38</v>
      </c>
      <c r="X8" s="145" t="s">
        <v>38</v>
      </c>
      <c r="Y8" s="145" t="s">
        <v>38</v>
      </c>
      <c r="Z8" s="145" t="s">
        <v>40</v>
      </c>
      <c r="AA8" s="145" t="s">
        <v>38</v>
      </c>
      <c r="AB8" s="145" t="s">
        <v>38</v>
      </c>
      <c r="AC8" s="145" t="str">
        <f t="shared" si="2"/>
        <v>Wo</v>
      </c>
      <c r="AD8" s="146" t="s">
        <v>38</v>
      </c>
      <c r="AE8" s="146" t="s">
        <v>38</v>
      </c>
      <c r="AF8" s="146" t="s">
        <v>40</v>
      </c>
      <c r="AG8" s="146" t="s">
        <v>38</v>
      </c>
      <c r="AH8" s="146" t="s">
        <v>38</v>
      </c>
      <c r="AI8" s="146" t="s">
        <v>38</v>
      </c>
      <c r="AJ8" s="146" t="str">
        <f t="shared" si="2"/>
        <v>Wo</v>
      </c>
      <c r="AK8" s="146" t="s">
        <v>38</v>
      </c>
      <c r="AL8" s="146" t="s">
        <v>38</v>
      </c>
      <c r="AM8" s="146" t="s">
        <v>38</v>
      </c>
      <c r="AN8" s="146" t="s">
        <v>40</v>
      </c>
      <c r="AO8" s="43" t="s">
        <v>38</v>
      </c>
      <c r="AP8" s="41"/>
      <c r="AQ8" s="28"/>
      <c r="AR8" s="135">
        <v>1</v>
      </c>
      <c r="AS8" s="106">
        <v>1001</v>
      </c>
      <c r="AT8" s="106" t="str">
        <f t="shared" ref="AT8:AT27" si="3">$L$4</f>
        <v>June</v>
      </c>
      <c r="AU8" s="106" t="s">
        <v>1</v>
      </c>
      <c r="AV8" s="109">
        <f t="shared" ref="AV8:AV27" si="4">COUNTIF($K8:$AO8,"*P*")</f>
        <v>23</v>
      </c>
      <c r="AW8" s="109">
        <f t="shared" ref="AW8:AW27" si="5">COUNTIF($K8:$AO8,"*A*")</f>
        <v>0</v>
      </c>
      <c r="AX8" s="109">
        <f t="shared" ref="AX8:AX27" si="6">COUNTIF($K8:$AO8,"*L*")</f>
        <v>4</v>
      </c>
      <c r="AY8" s="109">
        <f>$J$8</f>
        <v>4</v>
      </c>
      <c r="AZ8" s="112">
        <f>$K$4</f>
        <v>30</v>
      </c>
      <c r="BA8" s="112">
        <f>(AZ8-AW8)</f>
        <v>30</v>
      </c>
      <c r="BB8" s="115">
        <v>15000</v>
      </c>
      <c r="BC8" s="122">
        <f>JuneReport[[#This Row],[SALARY]]/JuneReport[[#This Row],[PAID DAYS]]</f>
        <v>500</v>
      </c>
      <c r="BD8" s="118">
        <f>JuneReport[[#This Row],[SALARY]]-JuneReport[[#This Row],[ DEDUCTION]]</f>
        <v>14500</v>
      </c>
      <c r="BE8" s="124"/>
      <c r="BF8" s="27"/>
      <c r="BG8" s="27"/>
      <c r="BH8" s="30"/>
      <c r="BI8" s="30"/>
      <c r="BJ8" s="30"/>
      <c r="BK8" s="30"/>
      <c r="BL8" s="30"/>
      <c r="BM8" s="30"/>
    </row>
    <row r="9" spans="4:65" ht="30" customHeight="1">
      <c r="D9" s="25"/>
      <c r="E9" s="25"/>
      <c r="F9" s="25"/>
      <c r="G9" s="42">
        <v>2</v>
      </c>
      <c r="H9" s="145">
        <v>1002</v>
      </c>
      <c r="I9" s="11" t="s">
        <v>2</v>
      </c>
      <c r="J9" s="42">
        <f t="shared" ref="J9:J27" si="7">COUNTIF($K$6:$AO$6,"sun")</f>
        <v>4</v>
      </c>
      <c r="K9" s="145" t="s">
        <v>38</v>
      </c>
      <c r="L9" s="145" t="s">
        <v>38</v>
      </c>
      <c r="M9" s="145" t="s">
        <v>38</v>
      </c>
      <c r="N9" s="145" t="s">
        <v>38</v>
      </c>
      <c r="O9" s="145" t="str">
        <f t="shared" si="2"/>
        <v>Wo</v>
      </c>
      <c r="P9" s="145" t="s">
        <v>38</v>
      </c>
      <c r="Q9" s="145" t="s">
        <v>38</v>
      </c>
      <c r="R9" s="145" t="s">
        <v>40</v>
      </c>
      <c r="S9" s="145" t="s">
        <v>38</v>
      </c>
      <c r="T9" s="145" t="s">
        <v>38</v>
      </c>
      <c r="U9" s="145" t="s">
        <v>38</v>
      </c>
      <c r="V9" s="145" t="str">
        <f t="shared" si="2"/>
        <v>Wo</v>
      </c>
      <c r="W9" s="145" t="s">
        <v>38</v>
      </c>
      <c r="X9" s="145" t="s">
        <v>38</v>
      </c>
      <c r="Y9" s="145" t="s">
        <v>38</v>
      </c>
      <c r="Z9" s="145" t="s">
        <v>40</v>
      </c>
      <c r="AA9" s="145" t="s">
        <v>38</v>
      </c>
      <c r="AB9" s="145" t="s">
        <v>38</v>
      </c>
      <c r="AC9" s="145" t="str">
        <f t="shared" si="2"/>
        <v>Wo</v>
      </c>
      <c r="AD9" s="146" t="s">
        <v>38</v>
      </c>
      <c r="AE9" s="146" t="s">
        <v>38</v>
      </c>
      <c r="AF9" s="146" t="s">
        <v>40</v>
      </c>
      <c r="AG9" s="146" t="s">
        <v>38</v>
      </c>
      <c r="AH9" s="146" t="s">
        <v>38</v>
      </c>
      <c r="AI9" s="146" t="s">
        <v>38</v>
      </c>
      <c r="AJ9" s="146" t="str">
        <f t="shared" si="2"/>
        <v>Wo</v>
      </c>
      <c r="AK9" s="146" t="s">
        <v>38</v>
      </c>
      <c r="AL9" s="146" t="s">
        <v>38</v>
      </c>
      <c r="AM9" s="146" t="s">
        <v>38</v>
      </c>
      <c r="AN9" s="146" t="s">
        <v>40</v>
      </c>
      <c r="AO9" s="43" t="s">
        <v>38</v>
      </c>
      <c r="AP9" s="41"/>
      <c r="AQ9" s="28"/>
      <c r="AR9" s="7">
        <v>2</v>
      </c>
      <c r="AS9" s="107">
        <v>1002</v>
      </c>
      <c r="AT9" s="107" t="str">
        <f t="shared" si="3"/>
        <v>June</v>
      </c>
      <c r="AU9" s="107" t="s">
        <v>2</v>
      </c>
      <c r="AV9" s="110">
        <f t="shared" si="4"/>
        <v>23</v>
      </c>
      <c r="AW9" s="110">
        <f t="shared" si="5"/>
        <v>0</v>
      </c>
      <c r="AX9" s="110">
        <f t="shared" si="6"/>
        <v>4</v>
      </c>
      <c r="AY9" s="110">
        <f t="shared" ref="AY9:AY27" si="8">$J$8</f>
        <v>4</v>
      </c>
      <c r="AZ9" s="113">
        <f t="shared" ref="AZ9:AZ27" si="9">$K$4</f>
        <v>30</v>
      </c>
      <c r="BA9" s="113">
        <f t="shared" ref="BA9:BA27" si="10">(AZ9-AW9)</f>
        <v>30</v>
      </c>
      <c r="BB9" s="116">
        <v>16000</v>
      </c>
      <c r="BC9" s="123">
        <f>JuneReport[[#This Row],[SALARY]]/JuneReport[[#This Row],[PAID DAYS]]</f>
        <v>533.33333333333337</v>
      </c>
      <c r="BD9" s="119">
        <f>JuneReport[[#This Row],[SALARY]]-JuneReport[[#This Row],[ DEDUCTION]]</f>
        <v>15466.666666666666</v>
      </c>
      <c r="BE9" s="121"/>
      <c r="BF9" s="27"/>
      <c r="BG9" s="27"/>
      <c r="BH9" s="30"/>
      <c r="BI9" s="30"/>
      <c r="BJ9" s="30"/>
      <c r="BK9" s="30"/>
      <c r="BL9" s="30"/>
      <c r="BM9" s="30"/>
    </row>
    <row r="10" spans="4:65" ht="30" customHeight="1">
      <c r="D10" s="25"/>
      <c r="E10" s="25"/>
      <c r="F10" s="25"/>
      <c r="G10" s="42">
        <v>3</v>
      </c>
      <c r="H10" s="145">
        <v>1003</v>
      </c>
      <c r="I10" s="11" t="s">
        <v>3</v>
      </c>
      <c r="J10" s="42">
        <f t="shared" si="7"/>
        <v>4</v>
      </c>
      <c r="K10" s="145" t="s">
        <v>38</v>
      </c>
      <c r="L10" s="145" t="s">
        <v>38</v>
      </c>
      <c r="M10" s="145" t="s">
        <v>38</v>
      </c>
      <c r="N10" s="145" t="s">
        <v>38</v>
      </c>
      <c r="O10" s="145" t="str">
        <f t="shared" si="2"/>
        <v>Wo</v>
      </c>
      <c r="P10" s="145" t="s">
        <v>38</v>
      </c>
      <c r="Q10" s="145" t="s">
        <v>38</v>
      </c>
      <c r="R10" s="145" t="s">
        <v>40</v>
      </c>
      <c r="S10" s="145" t="s">
        <v>38</v>
      </c>
      <c r="T10" s="145" t="s">
        <v>38</v>
      </c>
      <c r="U10" s="145" t="s">
        <v>38</v>
      </c>
      <c r="V10" s="145" t="str">
        <f t="shared" si="2"/>
        <v>Wo</v>
      </c>
      <c r="W10" s="145" t="s">
        <v>38</v>
      </c>
      <c r="X10" s="145" t="s">
        <v>38</v>
      </c>
      <c r="Y10" s="145" t="s">
        <v>38</v>
      </c>
      <c r="Z10" s="145" t="s">
        <v>40</v>
      </c>
      <c r="AA10" s="145" t="s">
        <v>38</v>
      </c>
      <c r="AB10" s="145" t="s">
        <v>38</v>
      </c>
      <c r="AC10" s="145" t="str">
        <f t="shared" si="2"/>
        <v>Wo</v>
      </c>
      <c r="AD10" s="146" t="s">
        <v>38</v>
      </c>
      <c r="AE10" s="146" t="s">
        <v>38</v>
      </c>
      <c r="AF10" s="146" t="s">
        <v>40</v>
      </c>
      <c r="AG10" s="146" t="s">
        <v>38</v>
      </c>
      <c r="AH10" s="146" t="s">
        <v>38</v>
      </c>
      <c r="AI10" s="146" t="s">
        <v>38</v>
      </c>
      <c r="AJ10" s="146" t="str">
        <f t="shared" si="2"/>
        <v>Wo</v>
      </c>
      <c r="AK10" s="146" t="s">
        <v>38</v>
      </c>
      <c r="AL10" s="146" t="s">
        <v>38</v>
      </c>
      <c r="AM10" s="146" t="s">
        <v>38</v>
      </c>
      <c r="AN10" s="146" t="s">
        <v>40</v>
      </c>
      <c r="AO10" s="43" t="s">
        <v>38</v>
      </c>
      <c r="AP10" s="41"/>
      <c r="AQ10" s="28"/>
      <c r="AR10" s="7">
        <v>3</v>
      </c>
      <c r="AS10" s="107">
        <v>1003</v>
      </c>
      <c r="AT10" s="107" t="str">
        <f t="shared" si="3"/>
        <v>June</v>
      </c>
      <c r="AU10" s="107" t="s">
        <v>3</v>
      </c>
      <c r="AV10" s="110">
        <f t="shared" si="4"/>
        <v>23</v>
      </c>
      <c r="AW10" s="110">
        <f t="shared" si="5"/>
        <v>0</v>
      </c>
      <c r="AX10" s="110">
        <f t="shared" si="6"/>
        <v>4</v>
      </c>
      <c r="AY10" s="110">
        <f t="shared" si="8"/>
        <v>4</v>
      </c>
      <c r="AZ10" s="113">
        <f t="shared" si="9"/>
        <v>30</v>
      </c>
      <c r="BA10" s="113">
        <f t="shared" si="10"/>
        <v>30</v>
      </c>
      <c r="BB10" s="116">
        <v>18000</v>
      </c>
      <c r="BC10" s="123">
        <f>JuneReport[[#This Row],[SALARY]]/JuneReport[[#This Row],[PAID DAYS]]</f>
        <v>600</v>
      </c>
      <c r="BD10" s="119">
        <f>JuneReport[[#This Row],[SALARY]]-JuneReport[[#This Row],[ DEDUCTION]]</f>
        <v>17400</v>
      </c>
      <c r="BE10" s="121"/>
      <c r="BF10" s="27"/>
      <c r="BG10" s="27"/>
      <c r="BH10" s="30"/>
      <c r="BI10" s="30"/>
      <c r="BJ10" s="30"/>
      <c r="BK10" s="30"/>
      <c r="BL10" s="30"/>
      <c r="BM10" s="30"/>
    </row>
    <row r="11" spans="4:65" ht="30" customHeight="1">
      <c r="D11" s="25"/>
      <c r="E11" s="25"/>
      <c r="F11" s="25"/>
      <c r="G11" s="42">
        <v>4</v>
      </c>
      <c r="H11" s="145">
        <v>1004</v>
      </c>
      <c r="I11" s="11" t="s">
        <v>4</v>
      </c>
      <c r="J11" s="42">
        <f t="shared" si="7"/>
        <v>4</v>
      </c>
      <c r="K11" s="145" t="s">
        <v>38</v>
      </c>
      <c r="L11" s="145" t="s">
        <v>38</v>
      </c>
      <c r="M11" s="145" t="s">
        <v>38</v>
      </c>
      <c r="N11" s="145" t="s">
        <v>38</v>
      </c>
      <c r="O11" s="145" t="str">
        <f t="shared" si="2"/>
        <v>Wo</v>
      </c>
      <c r="P11" s="145" t="s">
        <v>38</v>
      </c>
      <c r="Q11" s="145" t="s">
        <v>38</v>
      </c>
      <c r="R11" s="145" t="s">
        <v>40</v>
      </c>
      <c r="S11" s="145" t="s">
        <v>38</v>
      </c>
      <c r="T11" s="145" t="s">
        <v>38</v>
      </c>
      <c r="U11" s="145" t="s">
        <v>38</v>
      </c>
      <c r="V11" s="145" t="str">
        <f t="shared" si="2"/>
        <v>Wo</v>
      </c>
      <c r="W11" s="145" t="s">
        <v>39</v>
      </c>
      <c r="X11" s="145" t="s">
        <v>38</v>
      </c>
      <c r="Y11" s="145" t="s">
        <v>38</v>
      </c>
      <c r="Z11" s="145" t="s">
        <v>40</v>
      </c>
      <c r="AA11" s="145" t="s">
        <v>38</v>
      </c>
      <c r="AB11" s="145" t="s">
        <v>38</v>
      </c>
      <c r="AC11" s="145" t="str">
        <f t="shared" si="2"/>
        <v>Wo</v>
      </c>
      <c r="AD11" s="146" t="s">
        <v>38</v>
      </c>
      <c r="AE11" s="146" t="s">
        <v>38</v>
      </c>
      <c r="AF11" s="146" t="s">
        <v>40</v>
      </c>
      <c r="AG11" s="146" t="s">
        <v>39</v>
      </c>
      <c r="AH11" s="146" t="s">
        <v>38</v>
      </c>
      <c r="AI11" s="146" t="s">
        <v>38</v>
      </c>
      <c r="AJ11" s="146" t="str">
        <f t="shared" si="2"/>
        <v>Wo</v>
      </c>
      <c r="AK11" s="146" t="s">
        <v>38</v>
      </c>
      <c r="AL11" s="146" t="s">
        <v>38</v>
      </c>
      <c r="AM11" s="146" t="s">
        <v>38</v>
      </c>
      <c r="AN11" s="146" t="s">
        <v>40</v>
      </c>
      <c r="AO11" s="43" t="s">
        <v>38</v>
      </c>
      <c r="AP11" s="41"/>
      <c r="AQ11" s="28"/>
      <c r="AR11" s="7">
        <v>4</v>
      </c>
      <c r="AS11" s="107">
        <v>1004</v>
      </c>
      <c r="AT11" s="107" t="str">
        <f t="shared" si="3"/>
        <v>June</v>
      </c>
      <c r="AU11" s="107" t="s">
        <v>4</v>
      </c>
      <c r="AV11" s="110">
        <f t="shared" si="4"/>
        <v>21</v>
      </c>
      <c r="AW11" s="110">
        <f t="shared" si="5"/>
        <v>2</v>
      </c>
      <c r="AX11" s="110">
        <f t="shared" si="6"/>
        <v>4</v>
      </c>
      <c r="AY11" s="110">
        <f t="shared" si="8"/>
        <v>4</v>
      </c>
      <c r="AZ11" s="113">
        <f t="shared" si="9"/>
        <v>30</v>
      </c>
      <c r="BA11" s="113">
        <f t="shared" si="10"/>
        <v>28</v>
      </c>
      <c r="BB11" s="116">
        <v>21000</v>
      </c>
      <c r="BC11" s="123">
        <f>JuneReport[[#This Row],[SALARY]]/JuneReport[[#This Row],[PAID DAYS]]</f>
        <v>750</v>
      </c>
      <c r="BD11" s="119">
        <f>JuneReport[[#This Row],[SALARY]]-JuneReport[[#This Row],[ DEDUCTION]]</f>
        <v>20250</v>
      </c>
      <c r="BE11" s="121"/>
      <c r="BF11" s="27"/>
      <c r="BG11" s="27"/>
      <c r="BH11" s="30"/>
      <c r="BI11" s="30"/>
      <c r="BJ11" s="30"/>
      <c r="BK11" s="30"/>
      <c r="BL11" s="30"/>
      <c r="BM11" s="30"/>
    </row>
    <row r="12" spans="4:65" ht="30" customHeight="1">
      <c r="D12" s="25"/>
      <c r="E12" s="25"/>
      <c r="F12" s="25"/>
      <c r="G12" s="42">
        <v>5</v>
      </c>
      <c r="H12" s="145">
        <v>1005</v>
      </c>
      <c r="I12" s="11" t="s">
        <v>5</v>
      </c>
      <c r="J12" s="42">
        <f t="shared" si="7"/>
        <v>4</v>
      </c>
      <c r="K12" s="145" t="s">
        <v>38</v>
      </c>
      <c r="L12" s="145" t="s">
        <v>38</v>
      </c>
      <c r="M12" s="145" t="s">
        <v>38</v>
      </c>
      <c r="N12" s="145" t="s">
        <v>38</v>
      </c>
      <c r="O12" s="145" t="str">
        <f t="shared" si="2"/>
        <v>Wo</v>
      </c>
      <c r="P12" s="145" t="s">
        <v>38</v>
      </c>
      <c r="Q12" s="145" t="s">
        <v>38</v>
      </c>
      <c r="R12" s="145" t="s">
        <v>40</v>
      </c>
      <c r="S12" s="145" t="s">
        <v>38</v>
      </c>
      <c r="T12" s="145" t="s">
        <v>38</v>
      </c>
      <c r="U12" s="145" t="s">
        <v>38</v>
      </c>
      <c r="V12" s="145" t="str">
        <f t="shared" si="2"/>
        <v>Wo</v>
      </c>
      <c r="W12" s="145" t="s">
        <v>38</v>
      </c>
      <c r="X12" s="145" t="s">
        <v>38</v>
      </c>
      <c r="Y12" s="145" t="s">
        <v>38</v>
      </c>
      <c r="Z12" s="145" t="s">
        <v>40</v>
      </c>
      <c r="AA12" s="145" t="s">
        <v>38</v>
      </c>
      <c r="AB12" s="145" t="s">
        <v>38</v>
      </c>
      <c r="AC12" s="145" t="str">
        <f t="shared" si="2"/>
        <v>Wo</v>
      </c>
      <c r="AD12" s="146" t="s">
        <v>38</v>
      </c>
      <c r="AE12" s="146" t="s">
        <v>38</v>
      </c>
      <c r="AF12" s="146" t="s">
        <v>40</v>
      </c>
      <c r="AG12" s="146" t="s">
        <v>38</v>
      </c>
      <c r="AH12" s="146" t="s">
        <v>38</v>
      </c>
      <c r="AI12" s="146" t="s">
        <v>38</v>
      </c>
      <c r="AJ12" s="146" t="str">
        <f t="shared" si="2"/>
        <v>Wo</v>
      </c>
      <c r="AK12" s="146" t="s">
        <v>38</v>
      </c>
      <c r="AL12" s="146" t="s">
        <v>38</v>
      </c>
      <c r="AM12" s="146" t="s">
        <v>38</v>
      </c>
      <c r="AN12" s="146" t="s">
        <v>40</v>
      </c>
      <c r="AO12" s="43" t="s">
        <v>38</v>
      </c>
      <c r="AP12" s="41"/>
      <c r="AQ12" s="28"/>
      <c r="AR12" s="7">
        <v>5</v>
      </c>
      <c r="AS12" s="107">
        <v>1005</v>
      </c>
      <c r="AT12" s="107" t="str">
        <f t="shared" si="3"/>
        <v>June</v>
      </c>
      <c r="AU12" s="107" t="s">
        <v>5</v>
      </c>
      <c r="AV12" s="110">
        <f t="shared" si="4"/>
        <v>23</v>
      </c>
      <c r="AW12" s="110">
        <f t="shared" si="5"/>
        <v>0</v>
      </c>
      <c r="AX12" s="110">
        <f t="shared" si="6"/>
        <v>4</v>
      </c>
      <c r="AY12" s="110">
        <f t="shared" si="8"/>
        <v>4</v>
      </c>
      <c r="AZ12" s="113">
        <f t="shared" si="9"/>
        <v>30</v>
      </c>
      <c r="BA12" s="113">
        <f t="shared" si="10"/>
        <v>30</v>
      </c>
      <c r="BB12" s="116">
        <v>30000</v>
      </c>
      <c r="BC12" s="123">
        <f>JuneReport[[#This Row],[SALARY]]/JuneReport[[#This Row],[PAID DAYS]]</f>
        <v>1000</v>
      </c>
      <c r="BD12" s="119">
        <f>JuneReport[[#This Row],[SALARY]]-JuneReport[[#This Row],[ DEDUCTION]]</f>
        <v>29000</v>
      </c>
      <c r="BE12" s="121"/>
      <c r="BF12" s="27"/>
      <c r="BG12" s="27"/>
      <c r="BH12" s="30"/>
      <c r="BI12" s="30"/>
      <c r="BJ12" s="30"/>
      <c r="BK12" s="30"/>
      <c r="BL12" s="30"/>
      <c r="BM12" s="30"/>
    </row>
    <row r="13" spans="4:65" ht="30" customHeight="1">
      <c r="D13" s="25"/>
      <c r="E13" s="25"/>
      <c r="F13" s="25"/>
      <c r="G13" s="42">
        <v>6</v>
      </c>
      <c r="H13" s="145">
        <v>1006</v>
      </c>
      <c r="I13" s="11" t="s">
        <v>6</v>
      </c>
      <c r="J13" s="42">
        <f t="shared" si="7"/>
        <v>4</v>
      </c>
      <c r="K13" s="145" t="s">
        <v>38</v>
      </c>
      <c r="L13" s="145" t="s">
        <v>38</v>
      </c>
      <c r="M13" s="145" t="s">
        <v>38</v>
      </c>
      <c r="N13" s="145" t="s">
        <v>38</v>
      </c>
      <c r="O13" s="145" t="str">
        <f t="shared" si="2"/>
        <v>Wo</v>
      </c>
      <c r="P13" s="145" t="s">
        <v>38</v>
      </c>
      <c r="Q13" s="145" t="s">
        <v>38</v>
      </c>
      <c r="R13" s="145" t="s">
        <v>40</v>
      </c>
      <c r="S13" s="145" t="s">
        <v>38</v>
      </c>
      <c r="T13" s="145" t="s">
        <v>38</v>
      </c>
      <c r="U13" s="145" t="s">
        <v>38</v>
      </c>
      <c r="V13" s="145" t="str">
        <f t="shared" si="2"/>
        <v>Wo</v>
      </c>
      <c r="W13" s="145" t="s">
        <v>38</v>
      </c>
      <c r="X13" s="145" t="s">
        <v>38</v>
      </c>
      <c r="Y13" s="145" t="s">
        <v>38</v>
      </c>
      <c r="Z13" s="145" t="s">
        <v>40</v>
      </c>
      <c r="AA13" s="145" t="s">
        <v>38</v>
      </c>
      <c r="AB13" s="145" t="s">
        <v>38</v>
      </c>
      <c r="AC13" s="145" t="str">
        <f t="shared" si="2"/>
        <v>Wo</v>
      </c>
      <c r="AD13" s="146" t="s">
        <v>38</v>
      </c>
      <c r="AE13" s="146" t="s">
        <v>38</v>
      </c>
      <c r="AF13" s="146" t="s">
        <v>40</v>
      </c>
      <c r="AG13" s="146" t="s">
        <v>38</v>
      </c>
      <c r="AH13" s="146" t="s">
        <v>38</v>
      </c>
      <c r="AI13" s="146" t="s">
        <v>38</v>
      </c>
      <c r="AJ13" s="146" t="str">
        <f t="shared" si="2"/>
        <v>Wo</v>
      </c>
      <c r="AK13" s="146" t="s">
        <v>38</v>
      </c>
      <c r="AL13" s="146" t="s">
        <v>38</v>
      </c>
      <c r="AM13" s="146" t="s">
        <v>38</v>
      </c>
      <c r="AN13" s="146" t="s">
        <v>40</v>
      </c>
      <c r="AO13" s="43" t="s">
        <v>38</v>
      </c>
      <c r="AP13" s="41"/>
      <c r="AQ13" s="28"/>
      <c r="AR13" s="7">
        <v>6</v>
      </c>
      <c r="AS13" s="107">
        <v>1006</v>
      </c>
      <c r="AT13" s="107" t="str">
        <f t="shared" si="3"/>
        <v>June</v>
      </c>
      <c r="AU13" s="107" t="s">
        <v>6</v>
      </c>
      <c r="AV13" s="110">
        <f t="shared" si="4"/>
        <v>23</v>
      </c>
      <c r="AW13" s="110">
        <f t="shared" si="5"/>
        <v>0</v>
      </c>
      <c r="AX13" s="110">
        <f t="shared" si="6"/>
        <v>4</v>
      </c>
      <c r="AY13" s="110">
        <f t="shared" si="8"/>
        <v>4</v>
      </c>
      <c r="AZ13" s="113">
        <f t="shared" si="9"/>
        <v>30</v>
      </c>
      <c r="BA13" s="113">
        <f t="shared" si="10"/>
        <v>30</v>
      </c>
      <c r="BB13" s="116">
        <v>25000</v>
      </c>
      <c r="BC13" s="123">
        <f>JuneReport[[#This Row],[SALARY]]/JuneReport[[#This Row],[PAID DAYS]]</f>
        <v>833.33333333333337</v>
      </c>
      <c r="BD13" s="119">
        <f>JuneReport[[#This Row],[SALARY]]-JuneReport[[#This Row],[ DEDUCTION]]</f>
        <v>24166.666666666668</v>
      </c>
      <c r="BE13" s="121"/>
      <c r="BF13" s="27"/>
      <c r="BG13" s="27"/>
      <c r="BH13" s="30"/>
      <c r="BI13" s="30"/>
      <c r="BJ13" s="30"/>
      <c r="BK13" s="30"/>
      <c r="BL13" s="30"/>
      <c r="BM13" s="30"/>
    </row>
    <row r="14" spans="4:65" ht="30" customHeight="1">
      <c r="D14" s="25"/>
      <c r="E14" s="25"/>
      <c r="F14" s="25"/>
      <c r="G14" s="42">
        <v>7</v>
      </c>
      <c r="H14" s="145">
        <v>1007</v>
      </c>
      <c r="I14" s="11" t="s">
        <v>7</v>
      </c>
      <c r="J14" s="42">
        <f t="shared" si="7"/>
        <v>4</v>
      </c>
      <c r="K14" s="145" t="s">
        <v>38</v>
      </c>
      <c r="L14" s="145" t="s">
        <v>38</v>
      </c>
      <c r="M14" s="145" t="s">
        <v>38</v>
      </c>
      <c r="N14" s="145" t="s">
        <v>38</v>
      </c>
      <c r="O14" s="145" t="str">
        <f t="shared" si="2"/>
        <v>Wo</v>
      </c>
      <c r="P14" s="145" t="s">
        <v>38</v>
      </c>
      <c r="Q14" s="145" t="s">
        <v>38</v>
      </c>
      <c r="R14" s="145" t="s">
        <v>40</v>
      </c>
      <c r="S14" s="145" t="s">
        <v>38</v>
      </c>
      <c r="T14" s="145" t="s">
        <v>39</v>
      </c>
      <c r="U14" s="145" t="s">
        <v>38</v>
      </c>
      <c r="V14" s="145" t="str">
        <f t="shared" si="2"/>
        <v>Wo</v>
      </c>
      <c r="W14" s="145" t="s">
        <v>38</v>
      </c>
      <c r="X14" s="145" t="s">
        <v>38</v>
      </c>
      <c r="Y14" s="145" t="s">
        <v>38</v>
      </c>
      <c r="Z14" s="145" t="s">
        <v>40</v>
      </c>
      <c r="AA14" s="145" t="s">
        <v>38</v>
      </c>
      <c r="AB14" s="145" t="s">
        <v>38</v>
      </c>
      <c r="AC14" s="145" t="str">
        <f t="shared" si="2"/>
        <v>Wo</v>
      </c>
      <c r="AD14" s="146" t="s">
        <v>38</v>
      </c>
      <c r="AE14" s="146" t="s">
        <v>38</v>
      </c>
      <c r="AF14" s="146" t="s">
        <v>40</v>
      </c>
      <c r="AG14" s="146" t="s">
        <v>38</v>
      </c>
      <c r="AH14" s="146" t="s">
        <v>38</v>
      </c>
      <c r="AI14" s="146" t="s">
        <v>38</v>
      </c>
      <c r="AJ14" s="146" t="str">
        <f t="shared" si="2"/>
        <v>Wo</v>
      </c>
      <c r="AK14" s="146" t="s">
        <v>38</v>
      </c>
      <c r="AL14" s="146" t="s">
        <v>38</v>
      </c>
      <c r="AM14" s="146" t="s">
        <v>38</v>
      </c>
      <c r="AN14" s="146" t="s">
        <v>40</v>
      </c>
      <c r="AO14" s="43" t="s">
        <v>38</v>
      </c>
      <c r="AP14" s="41"/>
      <c r="AQ14" s="28"/>
      <c r="AR14" s="7">
        <v>7</v>
      </c>
      <c r="AS14" s="107">
        <v>1007</v>
      </c>
      <c r="AT14" s="107" t="str">
        <f t="shared" si="3"/>
        <v>June</v>
      </c>
      <c r="AU14" s="107" t="s">
        <v>7</v>
      </c>
      <c r="AV14" s="110">
        <f t="shared" si="4"/>
        <v>22</v>
      </c>
      <c r="AW14" s="110">
        <f t="shared" si="5"/>
        <v>1</v>
      </c>
      <c r="AX14" s="110">
        <f t="shared" si="6"/>
        <v>4</v>
      </c>
      <c r="AY14" s="110">
        <f t="shared" si="8"/>
        <v>4</v>
      </c>
      <c r="AZ14" s="113">
        <f t="shared" si="9"/>
        <v>30</v>
      </c>
      <c r="BA14" s="113">
        <f t="shared" si="10"/>
        <v>29</v>
      </c>
      <c r="BB14" s="116">
        <v>30000</v>
      </c>
      <c r="BC14" s="123">
        <f>JuneReport[[#This Row],[SALARY]]/JuneReport[[#This Row],[PAID DAYS]]</f>
        <v>1034.4827586206898</v>
      </c>
      <c r="BD14" s="119">
        <f>JuneReport[[#This Row],[SALARY]]-JuneReport[[#This Row],[ DEDUCTION]]</f>
        <v>28965.517241379312</v>
      </c>
      <c r="BE14" s="121"/>
      <c r="BF14" s="27"/>
      <c r="BG14" s="27"/>
      <c r="BH14" s="30"/>
      <c r="BI14" s="30"/>
      <c r="BJ14" s="30"/>
      <c r="BK14" s="30"/>
      <c r="BL14" s="30"/>
      <c r="BM14" s="30"/>
    </row>
    <row r="15" spans="4:65" ht="30" customHeight="1">
      <c r="D15" s="25"/>
      <c r="E15" s="25"/>
      <c r="F15" s="25"/>
      <c r="G15" s="42">
        <v>8</v>
      </c>
      <c r="H15" s="145">
        <v>1008</v>
      </c>
      <c r="I15" s="11" t="s">
        <v>8</v>
      </c>
      <c r="J15" s="42">
        <f t="shared" si="7"/>
        <v>4</v>
      </c>
      <c r="K15" s="145" t="s">
        <v>38</v>
      </c>
      <c r="L15" s="145" t="s">
        <v>38</v>
      </c>
      <c r="M15" s="145" t="s">
        <v>38</v>
      </c>
      <c r="N15" s="145" t="s">
        <v>38</v>
      </c>
      <c r="O15" s="145" t="str">
        <f t="shared" si="2"/>
        <v>Wo</v>
      </c>
      <c r="P15" s="145" t="s">
        <v>38</v>
      </c>
      <c r="Q15" s="145" t="s">
        <v>38</v>
      </c>
      <c r="R15" s="145" t="s">
        <v>40</v>
      </c>
      <c r="S15" s="145" t="s">
        <v>38</v>
      </c>
      <c r="T15" s="145" t="s">
        <v>38</v>
      </c>
      <c r="U15" s="145" t="s">
        <v>38</v>
      </c>
      <c r="V15" s="145" t="str">
        <f t="shared" si="2"/>
        <v>Wo</v>
      </c>
      <c r="W15" s="145" t="s">
        <v>38</v>
      </c>
      <c r="X15" s="145" t="s">
        <v>38</v>
      </c>
      <c r="Y15" s="145" t="s">
        <v>38</v>
      </c>
      <c r="Z15" s="145" t="s">
        <v>40</v>
      </c>
      <c r="AA15" s="145" t="s">
        <v>38</v>
      </c>
      <c r="AB15" s="145" t="s">
        <v>38</v>
      </c>
      <c r="AC15" s="145" t="str">
        <f t="shared" si="2"/>
        <v>Wo</v>
      </c>
      <c r="AD15" s="146" t="s">
        <v>38</v>
      </c>
      <c r="AE15" s="146" t="s">
        <v>38</v>
      </c>
      <c r="AF15" s="146" t="s">
        <v>40</v>
      </c>
      <c r="AG15" s="146" t="s">
        <v>38</v>
      </c>
      <c r="AH15" s="146" t="s">
        <v>38</v>
      </c>
      <c r="AI15" s="146" t="s">
        <v>38</v>
      </c>
      <c r="AJ15" s="146" t="str">
        <f t="shared" si="2"/>
        <v>Wo</v>
      </c>
      <c r="AK15" s="146" t="s">
        <v>38</v>
      </c>
      <c r="AL15" s="146" t="s">
        <v>39</v>
      </c>
      <c r="AM15" s="146" t="s">
        <v>38</v>
      </c>
      <c r="AN15" s="146" t="s">
        <v>40</v>
      </c>
      <c r="AO15" s="43" t="s">
        <v>38</v>
      </c>
      <c r="AP15" s="41"/>
      <c r="AQ15" s="28"/>
      <c r="AR15" s="7">
        <v>8</v>
      </c>
      <c r="AS15" s="107">
        <v>1008</v>
      </c>
      <c r="AT15" s="107" t="str">
        <f t="shared" si="3"/>
        <v>June</v>
      </c>
      <c r="AU15" s="107" t="s">
        <v>8</v>
      </c>
      <c r="AV15" s="110">
        <f t="shared" si="4"/>
        <v>22</v>
      </c>
      <c r="AW15" s="110">
        <f t="shared" si="5"/>
        <v>1</v>
      </c>
      <c r="AX15" s="110">
        <f t="shared" si="6"/>
        <v>4</v>
      </c>
      <c r="AY15" s="110">
        <f t="shared" si="8"/>
        <v>4</v>
      </c>
      <c r="AZ15" s="113">
        <f t="shared" si="9"/>
        <v>30</v>
      </c>
      <c r="BA15" s="113">
        <f t="shared" si="10"/>
        <v>29</v>
      </c>
      <c r="BB15" s="116">
        <v>35000</v>
      </c>
      <c r="BC15" s="123">
        <f>JuneReport[[#This Row],[SALARY]]/JuneReport[[#This Row],[PAID DAYS]]</f>
        <v>1206.8965517241379</v>
      </c>
      <c r="BD15" s="119">
        <f>JuneReport[[#This Row],[SALARY]]-JuneReport[[#This Row],[ DEDUCTION]]</f>
        <v>33793.103448275862</v>
      </c>
      <c r="BE15" s="121"/>
      <c r="BF15" s="27"/>
      <c r="BG15" s="27"/>
      <c r="BH15" s="30"/>
      <c r="BI15" s="30"/>
      <c r="BJ15" s="30"/>
      <c r="BK15" s="30"/>
      <c r="BL15" s="30"/>
      <c r="BM15" s="30"/>
    </row>
    <row r="16" spans="4:65" ht="30" customHeight="1">
      <c r="D16" s="25"/>
      <c r="E16" s="25" t="s">
        <v>0</v>
      </c>
      <c r="F16" s="25"/>
      <c r="G16" s="42">
        <v>9</v>
      </c>
      <c r="H16" s="145">
        <v>1009</v>
      </c>
      <c r="I16" s="11" t="s">
        <v>9</v>
      </c>
      <c r="J16" s="42">
        <f t="shared" si="7"/>
        <v>4</v>
      </c>
      <c r="K16" s="145" t="s">
        <v>38</v>
      </c>
      <c r="L16" s="145" t="s">
        <v>39</v>
      </c>
      <c r="M16" s="145" t="s">
        <v>38</v>
      </c>
      <c r="N16" s="145" t="s">
        <v>38</v>
      </c>
      <c r="O16" s="145" t="str">
        <f t="shared" si="2"/>
        <v>Wo</v>
      </c>
      <c r="P16" s="145" t="s">
        <v>38</v>
      </c>
      <c r="Q16" s="145" t="s">
        <v>38</v>
      </c>
      <c r="R16" s="145" t="s">
        <v>40</v>
      </c>
      <c r="S16" s="145" t="s">
        <v>38</v>
      </c>
      <c r="T16" s="145" t="s">
        <v>38</v>
      </c>
      <c r="U16" s="145" t="s">
        <v>38</v>
      </c>
      <c r="V16" s="145" t="str">
        <f t="shared" si="2"/>
        <v>Wo</v>
      </c>
      <c r="W16" s="145" t="s">
        <v>38</v>
      </c>
      <c r="X16" s="145" t="s">
        <v>38</v>
      </c>
      <c r="Y16" s="145" t="s">
        <v>38</v>
      </c>
      <c r="Z16" s="145" t="s">
        <v>40</v>
      </c>
      <c r="AA16" s="145" t="s">
        <v>38</v>
      </c>
      <c r="AB16" s="145" t="s">
        <v>38</v>
      </c>
      <c r="AC16" s="145" t="str">
        <f t="shared" si="2"/>
        <v>Wo</v>
      </c>
      <c r="AD16" s="146" t="s">
        <v>38</v>
      </c>
      <c r="AE16" s="146" t="s">
        <v>38</v>
      </c>
      <c r="AF16" s="146" t="s">
        <v>40</v>
      </c>
      <c r="AG16" s="146" t="s">
        <v>38</v>
      </c>
      <c r="AH16" s="146" t="s">
        <v>38</v>
      </c>
      <c r="AI16" s="146" t="s">
        <v>38</v>
      </c>
      <c r="AJ16" s="146" t="str">
        <f t="shared" si="2"/>
        <v>Wo</v>
      </c>
      <c r="AK16" s="146" t="s">
        <v>38</v>
      </c>
      <c r="AL16" s="146" t="s">
        <v>38</v>
      </c>
      <c r="AM16" s="146" t="s">
        <v>38</v>
      </c>
      <c r="AN16" s="146" t="s">
        <v>40</v>
      </c>
      <c r="AO16" s="43" t="s">
        <v>39</v>
      </c>
      <c r="AP16" s="41"/>
      <c r="AQ16" s="28"/>
      <c r="AR16" s="7">
        <v>9</v>
      </c>
      <c r="AS16" s="107">
        <v>1009</v>
      </c>
      <c r="AT16" s="107" t="str">
        <f t="shared" si="3"/>
        <v>June</v>
      </c>
      <c r="AU16" s="107" t="s">
        <v>9</v>
      </c>
      <c r="AV16" s="110">
        <f t="shared" si="4"/>
        <v>21</v>
      </c>
      <c r="AW16" s="110">
        <f t="shared" si="5"/>
        <v>2</v>
      </c>
      <c r="AX16" s="110">
        <f t="shared" si="6"/>
        <v>4</v>
      </c>
      <c r="AY16" s="110">
        <f t="shared" si="8"/>
        <v>4</v>
      </c>
      <c r="AZ16" s="113">
        <f t="shared" si="9"/>
        <v>30</v>
      </c>
      <c r="BA16" s="113">
        <f t="shared" si="10"/>
        <v>28</v>
      </c>
      <c r="BB16" s="116">
        <v>18000</v>
      </c>
      <c r="BC16" s="123">
        <f>JuneReport[[#This Row],[SALARY]]/JuneReport[[#This Row],[PAID DAYS]]</f>
        <v>642.85714285714289</v>
      </c>
      <c r="BD16" s="119">
        <f>JuneReport[[#This Row],[SALARY]]-JuneReport[[#This Row],[ DEDUCTION]]</f>
        <v>17357.142857142859</v>
      </c>
      <c r="BE16" s="121"/>
      <c r="BF16" s="27"/>
      <c r="BG16" s="27"/>
      <c r="BH16" s="30"/>
      <c r="BI16" s="30"/>
      <c r="BJ16" s="30"/>
      <c r="BK16" s="30"/>
      <c r="BL16" s="30"/>
      <c r="BM16" s="30"/>
    </row>
    <row r="17" spans="4:65" ht="30" customHeight="1">
      <c r="D17" s="25"/>
      <c r="E17" s="25"/>
      <c r="F17" s="25"/>
      <c r="G17" s="42">
        <v>10</v>
      </c>
      <c r="H17" s="145">
        <v>1010</v>
      </c>
      <c r="I17" s="11" t="s">
        <v>10</v>
      </c>
      <c r="J17" s="42">
        <f t="shared" si="7"/>
        <v>4</v>
      </c>
      <c r="K17" s="145" t="s">
        <v>38</v>
      </c>
      <c r="L17" s="145" t="s">
        <v>38</v>
      </c>
      <c r="M17" s="145" t="s">
        <v>38</v>
      </c>
      <c r="N17" s="145" t="s">
        <v>38</v>
      </c>
      <c r="O17" s="145" t="str">
        <f t="shared" si="2"/>
        <v>Wo</v>
      </c>
      <c r="P17" s="145" t="s">
        <v>38</v>
      </c>
      <c r="Q17" s="145" t="s">
        <v>38</v>
      </c>
      <c r="R17" s="145" t="s">
        <v>40</v>
      </c>
      <c r="S17" s="145" t="s">
        <v>38</v>
      </c>
      <c r="T17" s="145" t="s">
        <v>38</v>
      </c>
      <c r="U17" s="145" t="s">
        <v>38</v>
      </c>
      <c r="V17" s="145" t="str">
        <f t="shared" si="2"/>
        <v>Wo</v>
      </c>
      <c r="W17" s="145" t="s">
        <v>38</v>
      </c>
      <c r="X17" s="145" t="s">
        <v>38</v>
      </c>
      <c r="Y17" s="145" t="s">
        <v>38</v>
      </c>
      <c r="Z17" s="145" t="s">
        <v>40</v>
      </c>
      <c r="AA17" s="145" t="s">
        <v>38</v>
      </c>
      <c r="AB17" s="145" t="s">
        <v>38</v>
      </c>
      <c r="AC17" s="145" t="str">
        <f t="shared" si="2"/>
        <v>Wo</v>
      </c>
      <c r="AD17" s="146" t="s">
        <v>38</v>
      </c>
      <c r="AE17" s="146" t="s">
        <v>38</v>
      </c>
      <c r="AF17" s="146" t="s">
        <v>40</v>
      </c>
      <c r="AG17" s="146" t="s">
        <v>38</v>
      </c>
      <c r="AH17" s="146" t="s">
        <v>38</v>
      </c>
      <c r="AI17" s="146" t="s">
        <v>38</v>
      </c>
      <c r="AJ17" s="146" t="str">
        <f t="shared" si="2"/>
        <v>Wo</v>
      </c>
      <c r="AK17" s="146" t="s">
        <v>38</v>
      </c>
      <c r="AL17" s="146" t="s">
        <v>38</v>
      </c>
      <c r="AM17" s="146" t="s">
        <v>38</v>
      </c>
      <c r="AN17" s="146" t="s">
        <v>40</v>
      </c>
      <c r="AO17" s="43" t="s">
        <v>38</v>
      </c>
      <c r="AP17" s="41"/>
      <c r="AQ17" s="28"/>
      <c r="AR17" s="7">
        <v>10</v>
      </c>
      <c r="AS17" s="107">
        <v>1010</v>
      </c>
      <c r="AT17" s="107" t="str">
        <f t="shared" si="3"/>
        <v>June</v>
      </c>
      <c r="AU17" s="107" t="s">
        <v>10</v>
      </c>
      <c r="AV17" s="110">
        <f t="shared" si="4"/>
        <v>23</v>
      </c>
      <c r="AW17" s="110">
        <f t="shared" si="5"/>
        <v>0</v>
      </c>
      <c r="AX17" s="110">
        <f t="shared" si="6"/>
        <v>4</v>
      </c>
      <c r="AY17" s="110">
        <f t="shared" si="8"/>
        <v>4</v>
      </c>
      <c r="AZ17" s="113">
        <f t="shared" si="9"/>
        <v>30</v>
      </c>
      <c r="BA17" s="113">
        <f t="shared" si="10"/>
        <v>30</v>
      </c>
      <c r="BB17" s="116">
        <v>45000</v>
      </c>
      <c r="BC17" s="123">
        <f>JuneReport[[#This Row],[SALARY]]/JuneReport[[#This Row],[PAID DAYS]]</f>
        <v>1500</v>
      </c>
      <c r="BD17" s="119">
        <f>JuneReport[[#This Row],[SALARY]]-JuneReport[[#This Row],[ DEDUCTION]]</f>
        <v>43500</v>
      </c>
      <c r="BE17" s="121"/>
      <c r="BF17" s="27"/>
      <c r="BG17" s="27"/>
      <c r="BH17" s="30"/>
      <c r="BI17" s="30"/>
      <c r="BJ17" s="30"/>
      <c r="BK17" s="30"/>
      <c r="BL17" s="30"/>
      <c r="BM17" s="30"/>
    </row>
    <row r="18" spans="4:65" ht="30" customHeight="1">
      <c r="D18" s="25"/>
      <c r="E18" s="25"/>
      <c r="F18" s="25"/>
      <c r="G18" s="42">
        <v>11</v>
      </c>
      <c r="H18" s="145">
        <v>1011</v>
      </c>
      <c r="I18" s="11" t="s">
        <v>11</v>
      </c>
      <c r="J18" s="42">
        <f t="shared" si="7"/>
        <v>4</v>
      </c>
      <c r="K18" s="145" t="s">
        <v>38</v>
      </c>
      <c r="L18" s="145" t="s">
        <v>38</v>
      </c>
      <c r="M18" s="145" t="s">
        <v>38</v>
      </c>
      <c r="N18" s="145" t="s">
        <v>38</v>
      </c>
      <c r="O18" s="145" t="str">
        <f t="shared" si="2"/>
        <v>Wo</v>
      </c>
      <c r="P18" s="145" t="s">
        <v>38</v>
      </c>
      <c r="Q18" s="145" t="s">
        <v>39</v>
      </c>
      <c r="R18" s="145" t="s">
        <v>40</v>
      </c>
      <c r="S18" s="145" t="s">
        <v>38</v>
      </c>
      <c r="T18" s="145" t="s">
        <v>38</v>
      </c>
      <c r="U18" s="145" t="s">
        <v>38</v>
      </c>
      <c r="V18" s="145" t="str">
        <f t="shared" si="2"/>
        <v>Wo</v>
      </c>
      <c r="W18" s="145" t="s">
        <v>38</v>
      </c>
      <c r="X18" s="145" t="s">
        <v>38</v>
      </c>
      <c r="Y18" s="145" t="s">
        <v>38</v>
      </c>
      <c r="Z18" s="145" t="s">
        <v>40</v>
      </c>
      <c r="AA18" s="145" t="s">
        <v>38</v>
      </c>
      <c r="AB18" s="145" t="s">
        <v>38</v>
      </c>
      <c r="AC18" s="145" t="str">
        <f t="shared" si="2"/>
        <v>Wo</v>
      </c>
      <c r="AD18" s="146" t="s">
        <v>39</v>
      </c>
      <c r="AE18" s="146" t="s">
        <v>38</v>
      </c>
      <c r="AF18" s="146" t="s">
        <v>40</v>
      </c>
      <c r="AG18" s="146" t="s">
        <v>38</v>
      </c>
      <c r="AH18" s="146" t="s">
        <v>38</v>
      </c>
      <c r="AI18" s="146" t="s">
        <v>38</v>
      </c>
      <c r="AJ18" s="146" t="str">
        <f t="shared" si="2"/>
        <v>Wo</v>
      </c>
      <c r="AK18" s="146" t="s">
        <v>38</v>
      </c>
      <c r="AL18" s="146" t="s">
        <v>38</v>
      </c>
      <c r="AM18" s="146" t="s">
        <v>39</v>
      </c>
      <c r="AN18" s="146" t="s">
        <v>40</v>
      </c>
      <c r="AO18" s="43" t="s">
        <v>38</v>
      </c>
      <c r="AP18" s="41"/>
      <c r="AQ18" s="28"/>
      <c r="AR18" s="7">
        <v>11</v>
      </c>
      <c r="AS18" s="107">
        <v>1011</v>
      </c>
      <c r="AT18" s="107" t="str">
        <f t="shared" si="3"/>
        <v>June</v>
      </c>
      <c r="AU18" s="107" t="s">
        <v>11</v>
      </c>
      <c r="AV18" s="110">
        <f t="shared" si="4"/>
        <v>20</v>
      </c>
      <c r="AW18" s="110">
        <f t="shared" si="5"/>
        <v>3</v>
      </c>
      <c r="AX18" s="110">
        <f t="shared" si="6"/>
        <v>4</v>
      </c>
      <c r="AY18" s="110">
        <f t="shared" si="8"/>
        <v>4</v>
      </c>
      <c r="AZ18" s="113">
        <f t="shared" si="9"/>
        <v>30</v>
      </c>
      <c r="BA18" s="113">
        <f t="shared" si="10"/>
        <v>27</v>
      </c>
      <c r="BB18" s="116">
        <v>55000</v>
      </c>
      <c r="BC18" s="123">
        <f>JuneReport[[#This Row],[SALARY]]/JuneReport[[#This Row],[PAID DAYS]]</f>
        <v>2037.037037037037</v>
      </c>
      <c r="BD18" s="119">
        <f>JuneReport[[#This Row],[SALARY]]-JuneReport[[#This Row],[ DEDUCTION]]</f>
        <v>52962.962962962964</v>
      </c>
      <c r="BE18" s="121"/>
      <c r="BF18" s="27"/>
      <c r="BG18" s="27"/>
      <c r="BH18" s="30"/>
      <c r="BI18" s="30"/>
      <c r="BJ18" s="30"/>
      <c r="BK18" s="30"/>
      <c r="BL18" s="30"/>
      <c r="BM18" s="30"/>
    </row>
    <row r="19" spans="4:65" ht="30" customHeight="1">
      <c r="D19" s="25"/>
      <c r="E19" s="25"/>
      <c r="F19" s="25"/>
      <c r="G19" s="42">
        <v>12</v>
      </c>
      <c r="H19" s="145">
        <v>1012</v>
      </c>
      <c r="I19" s="11" t="s">
        <v>12</v>
      </c>
      <c r="J19" s="42">
        <f t="shared" si="7"/>
        <v>4</v>
      </c>
      <c r="K19" s="145" t="s">
        <v>38</v>
      </c>
      <c r="L19" s="145" t="s">
        <v>38</v>
      </c>
      <c r="M19" s="145" t="s">
        <v>38</v>
      </c>
      <c r="N19" s="145" t="s">
        <v>38</v>
      </c>
      <c r="O19" s="145" t="str">
        <f t="shared" si="2"/>
        <v>Wo</v>
      </c>
      <c r="P19" s="145" t="s">
        <v>38</v>
      </c>
      <c r="Q19" s="145" t="s">
        <v>38</v>
      </c>
      <c r="R19" s="145" t="s">
        <v>40</v>
      </c>
      <c r="S19" s="145" t="s">
        <v>38</v>
      </c>
      <c r="T19" s="145" t="s">
        <v>38</v>
      </c>
      <c r="U19" s="145" t="s">
        <v>38</v>
      </c>
      <c r="V19" s="145" t="str">
        <f t="shared" si="2"/>
        <v>Wo</v>
      </c>
      <c r="W19" s="145" t="s">
        <v>38</v>
      </c>
      <c r="X19" s="145" t="s">
        <v>38</v>
      </c>
      <c r="Y19" s="145" t="s">
        <v>38</v>
      </c>
      <c r="Z19" s="145" t="s">
        <v>40</v>
      </c>
      <c r="AA19" s="145" t="s">
        <v>38</v>
      </c>
      <c r="AB19" s="145" t="s">
        <v>38</v>
      </c>
      <c r="AC19" s="145" t="str">
        <f t="shared" si="2"/>
        <v>Wo</v>
      </c>
      <c r="AD19" s="146" t="s">
        <v>38</v>
      </c>
      <c r="AE19" s="146" t="s">
        <v>38</v>
      </c>
      <c r="AF19" s="146" t="s">
        <v>40</v>
      </c>
      <c r="AG19" s="146" t="s">
        <v>38</v>
      </c>
      <c r="AH19" s="146" t="s">
        <v>38</v>
      </c>
      <c r="AI19" s="146" t="s">
        <v>38</v>
      </c>
      <c r="AJ19" s="146" t="str">
        <f t="shared" si="2"/>
        <v>Wo</v>
      </c>
      <c r="AK19" s="146" t="s">
        <v>38</v>
      </c>
      <c r="AL19" s="146" t="s">
        <v>38</v>
      </c>
      <c r="AM19" s="146" t="s">
        <v>38</v>
      </c>
      <c r="AN19" s="146" t="s">
        <v>40</v>
      </c>
      <c r="AO19" s="43" t="s">
        <v>38</v>
      </c>
      <c r="AP19" s="41"/>
      <c r="AQ19" s="28"/>
      <c r="AR19" s="7">
        <v>12</v>
      </c>
      <c r="AS19" s="107">
        <v>1012</v>
      </c>
      <c r="AT19" s="107" t="str">
        <f t="shared" si="3"/>
        <v>June</v>
      </c>
      <c r="AU19" s="107" t="s">
        <v>12</v>
      </c>
      <c r="AV19" s="110">
        <f t="shared" si="4"/>
        <v>23</v>
      </c>
      <c r="AW19" s="110">
        <f t="shared" si="5"/>
        <v>0</v>
      </c>
      <c r="AX19" s="110">
        <f t="shared" si="6"/>
        <v>4</v>
      </c>
      <c r="AY19" s="110">
        <f t="shared" si="8"/>
        <v>4</v>
      </c>
      <c r="AZ19" s="113">
        <f t="shared" si="9"/>
        <v>30</v>
      </c>
      <c r="BA19" s="113">
        <f t="shared" si="10"/>
        <v>30</v>
      </c>
      <c r="BB19" s="116">
        <v>65000</v>
      </c>
      <c r="BC19" s="123">
        <f>JuneReport[[#This Row],[SALARY]]/JuneReport[[#This Row],[PAID DAYS]]</f>
        <v>2166.6666666666665</v>
      </c>
      <c r="BD19" s="119">
        <f>JuneReport[[#This Row],[SALARY]]-JuneReport[[#This Row],[ DEDUCTION]]</f>
        <v>62833.333333333336</v>
      </c>
      <c r="BE19" s="121"/>
      <c r="BF19" s="27"/>
      <c r="BG19" s="27"/>
      <c r="BH19" s="30"/>
      <c r="BI19" s="30"/>
      <c r="BJ19" s="30"/>
      <c r="BK19" s="30"/>
      <c r="BL19" s="30"/>
      <c r="BM19" s="30"/>
    </row>
    <row r="20" spans="4:65" ht="30" customHeight="1">
      <c r="D20" s="25"/>
      <c r="E20" s="25"/>
      <c r="F20" s="25"/>
      <c r="G20" s="42">
        <v>13</v>
      </c>
      <c r="H20" s="145">
        <v>1013</v>
      </c>
      <c r="I20" s="11" t="s">
        <v>13</v>
      </c>
      <c r="J20" s="42">
        <f t="shared" si="7"/>
        <v>4</v>
      </c>
      <c r="K20" s="145" t="s">
        <v>38</v>
      </c>
      <c r="L20" s="145" t="s">
        <v>38</v>
      </c>
      <c r="M20" s="145" t="s">
        <v>38</v>
      </c>
      <c r="N20" s="145" t="s">
        <v>38</v>
      </c>
      <c r="O20" s="145" t="str">
        <f t="shared" si="2"/>
        <v>Wo</v>
      </c>
      <c r="P20" s="145" t="s">
        <v>38</v>
      </c>
      <c r="Q20" s="145" t="s">
        <v>38</v>
      </c>
      <c r="R20" s="145" t="s">
        <v>40</v>
      </c>
      <c r="S20" s="145" t="s">
        <v>38</v>
      </c>
      <c r="T20" s="145" t="s">
        <v>38</v>
      </c>
      <c r="U20" s="145" t="s">
        <v>38</v>
      </c>
      <c r="V20" s="145" t="str">
        <f t="shared" si="2"/>
        <v>Wo</v>
      </c>
      <c r="W20" s="145" t="s">
        <v>38</v>
      </c>
      <c r="X20" s="145" t="s">
        <v>38</v>
      </c>
      <c r="Y20" s="145" t="s">
        <v>38</v>
      </c>
      <c r="Z20" s="145" t="s">
        <v>40</v>
      </c>
      <c r="AA20" s="145" t="s">
        <v>38</v>
      </c>
      <c r="AB20" s="145" t="s">
        <v>38</v>
      </c>
      <c r="AC20" s="145" t="str">
        <f t="shared" si="2"/>
        <v>Wo</v>
      </c>
      <c r="AD20" s="146" t="s">
        <v>38</v>
      </c>
      <c r="AE20" s="146" t="s">
        <v>38</v>
      </c>
      <c r="AF20" s="146" t="s">
        <v>40</v>
      </c>
      <c r="AG20" s="146" t="s">
        <v>38</v>
      </c>
      <c r="AH20" s="146" t="s">
        <v>38</v>
      </c>
      <c r="AI20" s="146" t="s">
        <v>38</v>
      </c>
      <c r="AJ20" s="146" t="str">
        <f t="shared" si="2"/>
        <v>Wo</v>
      </c>
      <c r="AK20" s="146" t="s">
        <v>38</v>
      </c>
      <c r="AL20" s="146" t="s">
        <v>38</v>
      </c>
      <c r="AM20" s="146" t="s">
        <v>38</v>
      </c>
      <c r="AN20" s="146" t="s">
        <v>40</v>
      </c>
      <c r="AO20" s="43" t="s">
        <v>38</v>
      </c>
      <c r="AP20" s="41"/>
      <c r="AQ20" s="28"/>
      <c r="AR20" s="7">
        <v>13</v>
      </c>
      <c r="AS20" s="107">
        <v>1013</v>
      </c>
      <c r="AT20" s="107" t="str">
        <f t="shared" si="3"/>
        <v>June</v>
      </c>
      <c r="AU20" s="107" t="s">
        <v>13</v>
      </c>
      <c r="AV20" s="110">
        <f t="shared" si="4"/>
        <v>23</v>
      </c>
      <c r="AW20" s="110">
        <f t="shared" si="5"/>
        <v>0</v>
      </c>
      <c r="AX20" s="110">
        <f t="shared" si="6"/>
        <v>4</v>
      </c>
      <c r="AY20" s="110">
        <f t="shared" si="8"/>
        <v>4</v>
      </c>
      <c r="AZ20" s="113">
        <f t="shared" si="9"/>
        <v>30</v>
      </c>
      <c r="BA20" s="113">
        <f t="shared" si="10"/>
        <v>30</v>
      </c>
      <c r="BB20" s="116">
        <v>68000</v>
      </c>
      <c r="BC20" s="123">
        <f>JuneReport[[#This Row],[SALARY]]/JuneReport[[#This Row],[PAID DAYS]]</f>
        <v>2266.6666666666665</v>
      </c>
      <c r="BD20" s="119">
        <f>JuneReport[[#This Row],[SALARY]]-JuneReport[[#This Row],[ DEDUCTION]]</f>
        <v>65733.333333333328</v>
      </c>
      <c r="BE20" s="121"/>
      <c r="BF20" s="27"/>
      <c r="BG20" s="27"/>
      <c r="BH20" s="30"/>
      <c r="BI20" s="30"/>
      <c r="BJ20" s="30"/>
      <c r="BK20" s="30"/>
      <c r="BL20" s="30"/>
      <c r="BM20" s="30"/>
    </row>
    <row r="21" spans="4:65" ht="30" customHeight="1">
      <c r="D21" s="25"/>
      <c r="E21" s="25"/>
      <c r="F21" s="25"/>
      <c r="G21" s="42">
        <v>14</v>
      </c>
      <c r="H21" s="145">
        <v>1014</v>
      </c>
      <c r="I21" s="11" t="s">
        <v>14</v>
      </c>
      <c r="J21" s="42">
        <f t="shared" si="7"/>
        <v>4</v>
      </c>
      <c r="K21" s="145" t="s">
        <v>38</v>
      </c>
      <c r="L21" s="145" t="s">
        <v>38</v>
      </c>
      <c r="M21" s="145" t="s">
        <v>38</v>
      </c>
      <c r="N21" s="145" t="s">
        <v>38</v>
      </c>
      <c r="O21" s="145" t="str">
        <f t="shared" si="2"/>
        <v>Wo</v>
      </c>
      <c r="P21" s="145" t="s">
        <v>38</v>
      </c>
      <c r="Q21" s="145" t="s">
        <v>38</v>
      </c>
      <c r="R21" s="145" t="s">
        <v>40</v>
      </c>
      <c r="S21" s="145" t="s">
        <v>38</v>
      </c>
      <c r="T21" s="145" t="s">
        <v>38</v>
      </c>
      <c r="U21" s="145" t="s">
        <v>38</v>
      </c>
      <c r="V21" s="145" t="str">
        <f t="shared" si="2"/>
        <v>Wo</v>
      </c>
      <c r="W21" s="145" t="s">
        <v>38</v>
      </c>
      <c r="X21" s="145" t="s">
        <v>38</v>
      </c>
      <c r="Y21" s="145" t="s">
        <v>38</v>
      </c>
      <c r="Z21" s="145" t="s">
        <v>40</v>
      </c>
      <c r="AA21" s="145" t="s">
        <v>38</v>
      </c>
      <c r="AB21" s="145" t="s">
        <v>38</v>
      </c>
      <c r="AC21" s="145" t="str">
        <f t="shared" si="2"/>
        <v>Wo</v>
      </c>
      <c r="AD21" s="146" t="s">
        <v>38</v>
      </c>
      <c r="AE21" s="146" t="s">
        <v>38</v>
      </c>
      <c r="AF21" s="146" t="s">
        <v>40</v>
      </c>
      <c r="AG21" s="146" t="s">
        <v>38</v>
      </c>
      <c r="AH21" s="146" t="s">
        <v>38</v>
      </c>
      <c r="AI21" s="146" t="s">
        <v>38</v>
      </c>
      <c r="AJ21" s="146" t="str">
        <f t="shared" si="2"/>
        <v>Wo</v>
      </c>
      <c r="AK21" s="146" t="s">
        <v>39</v>
      </c>
      <c r="AL21" s="146" t="s">
        <v>38</v>
      </c>
      <c r="AM21" s="146" t="s">
        <v>38</v>
      </c>
      <c r="AN21" s="146" t="s">
        <v>40</v>
      </c>
      <c r="AO21" s="43" t="s">
        <v>38</v>
      </c>
      <c r="AP21" s="41"/>
      <c r="AQ21" s="28"/>
      <c r="AR21" s="7">
        <v>14</v>
      </c>
      <c r="AS21" s="107">
        <v>1014</v>
      </c>
      <c r="AT21" s="107" t="str">
        <f t="shared" si="3"/>
        <v>June</v>
      </c>
      <c r="AU21" s="107" t="s">
        <v>14</v>
      </c>
      <c r="AV21" s="110">
        <f t="shared" si="4"/>
        <v>22</v>
      </c>
      <c r="AW21" s="110">
        <f t="shared" si="5"/>
        <v>1</v>
      </c>
      <c r="AX21" s="110">
        <f t="shared" si="6"/>
        <v>4</v>
      </c>
      <c r="AY21" s="110">
        <f t="shared" si="8"/>
        <v>4</v>
      </c>
      <c r="AZ21" s="113">
        <f t="shared" si="9"/>
        <v>30</v>
      </c>
      <c r="BA21" s="113">
        <f t="shared" si="10"/>
        <v>29</v>
      </c>
      <c r="BB21" s="116">
        <v>72000</v>
      </c>
      <c r="BC21" s="123">
        <f>JuneReport[[#This Row],[SALARY]]/JuneReport[[#This Row],[PAID DAYS]]</f>
        <v>2482.7586206896553</v>
      </c>
      <c r="BD21" s="119">
        <f>JuneReport[[#This Row],[SALARY]]-JuneReport[[#This Row],[ DEDUCTION]]</f>
        <v>69517.241379310348</v>
      </c>
      <c r="BE21" s="121"/>
      <c r="BF21" s="27"/>
      <c r="BG21" s="27"/>
      <c r="BH21" s="30"/>
      <c r="BI21" s="30"/>
      <c r="BJ21" s="30"/>
      <c r="BK21" s="30"/>
      <c r="BL21" s="30"/>
      <c r="BM21" s="30"/>
    </row>
    <row r="22" spans="4:65" ht="30" customHeight="1">
      <c r="D22" s="25"/>
      <c r="E22" s="25"/>
      <c r="F22" s="25"/>
      <c r="G22" s="42">
        <v>15</v>
      </c>
      <c r="H22" s="145">
        <v>1015</v>
      </c>
      <c r="I22" s="11" t="s">
        <v>15</v>
      </c>
      <c r="J22" s="42">
        <f t="shared" si="7"/>
        <v>4</v>
      </c>
      <c r="K22" s="145" t="s">
        <v>38</v>
      </c>
      <c r="L22" s="145" t="s">
        <v>38</v>
      </c>
      <c r="M22" s="145" t="s">
        <v>38</v>
      </c>
      <c r="N22" s="145" t="s">
        <v>38</v>
      </c>
      <c r="O22" s="145" t="str">
        <f t="shared" si="2"/>
        <v>Wo</v>
      </c>
      <c r="P22" s="145" t="s">
        <v>38</v>
      </c>
      <c r="Q22" s="145" t="s">
        <v>38</v>
      </c>
      <c r="R22" s="145" t="s">
        <v>40</v>
      </c>
      <c r="S22" s="145" t="s">
        <v>38</v>
      </c>
      <c r="T22" s="145" t="s">
        <v>38</v>
      </c>
      <c r="U22" s="145" t="s">
        <v>38</v>
      </c>
      <c r="V22" s="145" t="str">
        <f t="shared" si="2"/>
        <v>Wo</v>
      </c>
      <c r="W22" s="145" t="s">
        <v>38</v>
      </c>
      <c r="X22" s="145" t="s">
        <v>38</v>
      </c>
      <c r="Y22" s="145" t="s">
        <v>38</v>
      </c>
      <c r="Z22" s="145" t="s">
        <v>40</v>
      </c>
      <c r="AA22" s="145" t="s">
        <v>38</v>
      </c>
      <c r="AB22" s="145" t="s">
        <v>38</v>
      </c>
      <c r="AC22" s="145" t="str">
        <f t="shared" si="2"/>
        <v>Wo</v>
      </c>
      <c r="AD22" s="146" t="s">
        <v>38</v>
      </c>
      <c r="AE22" s="146" t="s">
        <v>38</v>
      </c>
      <c r="AF22" s="146" t="s">
        <v>40</v>
      </c>
      <c r="AG22" s="146" t="s">
        <v>38</v>
      </c>
      <c r="AH22" s="146" t="s">
        <v>38</v>
      </c>
      <c r="AI22" s="146" t="s">
        <v>38</v>
      </c>
      <c r="AJ22" s="146" t="str">
        <f t="shared" si="2"/>
        <v>Wo</v>
      </c>
      <c r="AK22" s="146" t="s">
        <v>38</v>
      </c>
      <c r="AL22" s="146" t="s">
        <v>38</v>
      </c>
      <c r="AM22" s="146" t="s">
        <v>38</v>
      </c>
      <c r="AN22" s="146" t="s">
        <v>40</v>
      </c>
      <c r="AO22" s="43" t="s">
        <v>38</v>
      </c>
      <c r="AP22" s="41"/>
      <c r="AQ22" s="28"/>
      <c r="AR22" s="7">
        <v>15</v>
      </c>
      <c r="AS22" s="107">
        <v>1015</v>
      </c>
      <c r="AT22" s="107" t="str">
        <f t="shared" si="3"/>
        <v>June</v>
      </c>
      <c r="AU22" s="107" t="s">
        <v>15</v>
      </c>
      <c r="AV22" s="110">
        <f t="shared" si="4"/>
        <v>23</v>
      </c>
      <c r="AW22" s="110">
        <f t="shared" si="5"/>
        <v>0</v>
      </c>
      <c r="AX22" s="110">
        <f t="shared" si="6"/>
        <v>4</v>
      </c>
      <c r="AY22" s="110">
        <f t="shared" si="8"/>
        <v>4</v>
      </c>
      <c r="AZ22" s="113">
        <f t="shared" si="9"/>
        <v>30</v>
      </c>
      <c r="BA22" s="113">
        <f t="shared" si="10"/>
        <v>30</v>
      </c>
      <c r="BB22" s="116">
        <v>20000</v>
      </c>
      <c r="BC22" s="123">
        <f>JuneReport[[#This Row],[SALARY]]/JuneReport[[#This Row],[PAID DAYS]]</f>
        <v>666.66666666666663</v>
      </c>
      <c r="BD22" s="119">
        <f>JuneReport[[#This Row],[SALARY]]-JuneReport[[#This Row],[ DEDUCTION]]</f>
        <v>19333.333333333332</v>
      </c>
      <c r="BE22" s="121"/>
      <c r="BF22" s="27"/>
      <c r="BG22" s="27"/>
      <c r="BH22" s="30"/>
      <c r="BI22" s="30"/>
      <c r="BJ22" s="30"/>
      <c r="BK22" s="30"/>
      <c r="BL22" s="30"/>
      <c r="BM22" s="30"/>
    </row>
    <row r="23" spans="4:65" ht="30" customHeight="1">
      <c r="D23" s="25"/>
      <c r="E23" s="25"/>
      <c r="F23" s="25"/>
      <c r="G23" s="42">
        <v>16</v>
      </c>
      <c r="H23" s="145">
        <v>1016</v>
      </c>
      <c r="I23" s="11" t="s">
        <v>16</v>
      </c>
      <c r="J23" s="42">
        <f t="shared" si="7"/>
        <v>4</v>
      </c>
      <c r="K23" s="145" t="s">
        <v>38</v>
      </c>
      <c r="L23" s="145" t="s">
        <v>39</v>
      </c>
      <c r="M23" s="145" t="s">
        <v>38</v>
      </c>
      <c r="N23" s="145" t="s">
        <v>38</v>
      </c>
      <c r="O23" s="145" t="str">
        <f t="shared" si="2"/>
        <v>Wo</v>
      </c>
      <c r="P23" s="145" t="s">
        <v>38</v>
      </c>
      <c r="Q23" s="145" t="s">
        <v>38</v>
      </c>
      <c r="R23" s="145" t="s">
        <v>40</v>
      </c>
      <c r="S23" s="145" t="s">
        <v>38</v>
      </c>
      <c r="T23" s="145" t="s">
        <v>38</v>
      </c>
      <c r="U23" s="145" t="s">
        <v>38</v>
      </c>
      <c r="V23" s="145" t="str">
        <f t="shared" si="2"/>
        <v>Wo</v>
      </c>
      <c r="W23" s="145" t="s">
        <v>38</v>
      </c>
      <c r="X23" s="145" t="s">
        <v>38</v>
      </c>
      <c r="Y23" s="145" t="s">
        <v>38</v>
      </c>
      <c r="Z23" s="145" t="s">
        <v>40</v>
      </c>
      <c r="AA23" s="145" t="s">
        <v>38</v>
      </c>
      <c r="AB23" s="145" t="s">
        <v>38</v>
      </c>
      <c r="AC23" s="145" t="str">
        <f t="shared" si="2"/>
        <v>Wo</v>
      </c>
      <c r="AD23" s="146" t="s">
        <v>38</v>
      </c>
      <c r="AE23" s="146" t="s">
        <v>38</v>
      </c>
      <c r="AF23" s="146" t="s">
        <v>40</v>
      </c>
      <c r="AG23" s="146" t="s">
        <v>38</v>
      </c>
      <c r="AH23" s="146" t="s">
        <v>38</v>
      </c>
      <c r="AI23" s="146" t="s">
        <v>38</v>
      </c>
      <c r="AJ23" s="146" t="str">
        <f t="shared" si="2"/>
        <v>Wo</v>
      </c>
      <c r="AK23" s="146" t="s">
        <v>39</v>
      </c>
      <c r="AL23" s="146" t="s">
        <v>38</v>
      </c>
      <c r="AM23" s="146" t="s">
        <v>38</v>
      </c>
      <c r="AN23" s="146" t="s">
        <v>40</v>
      </c>
      <c r="AO23" s="43" t="s">
        <v>38</v>
      </c>
      <c r="AP23" s="41"/>
      <c r="AQ23" s="28"/>
      <c r="AR23" s="7">
        <v>16</v>
      </c>
      <c r="AS23" s="107">
        <v>1016</v>
      </c>
      <c r="AT23" s="107" t="str">
        <f t="shared" si="3"/>
        <v>June</v>
      </c>
      <c r="AU23" s="107" t="s">
        <v>16</v>
      </c>
      <c r="AV23" s="110">
        <f t="shared" si="4"/>
        <v>21</v>
      </c>
      <c r="AW23" s="110">
        <f t="shared" si="5"/>
        <v>2</v>
      </c>
      <c r="AX23" s="110">
        <f t="shared" si="6"/>
        <v>4</v>
      </c>
      <c r="AY23" s="110">
        <f t="shared" si="8"/>
        <v>4</v>
      </c>
      <c r="AZ23" s="113">
        <f t="shared" si="9"/>
        <v>30</v>
      </c>
      <c r="BA23" s="113">
        <f t="shared" si="10"/>
        <v>28</v>
      </c>
      <c r="BB23" s="116">
        <v>56000</v>
      </c>
      <c r="BC23" s="123">
        <f>JuneReport[[#This Row],[SALARY]]/JuneReport[[#This Row],[PAID DAYS]]</f>
        <v>2000</v>
      </c>
      <c r="BD23" s="119">
        <f>JuneReport[[#This Row],[SALARY]]-JuneReport[[#This Row],[ DEDUCTION]]</f>
        <v>54000</v>
      </c>
      <c r="BE23" s="121"/>
      <c r="BF23" s="27"/>
      <c r="BG23" s="27"/>
      <c r="BH23" s="30"/>
      <c r="BI23" s="30"/>
      <c r="BJ23" s="30"/>
      <c r="BK23" s="30"/>
      <c r="BL23" s="30"/>
      <c r="BM23" s="30"/>
    </row>
    <row r="24" spans="4:65" ht="30" customHeight="1">
      <c r="D24" s="25"/>
      <c r="E24" s="25"/>
      <c r="F24" s="25"/>
      <c r="G24" s="42">
        <v>17</v>
      </c>
      <c r="H24" s="145">
        <v>1017</v>
      </c>
      <c r="I24" s="11" t="s">
        <v>17</v>
      </c>
      <c r="J24" s="42">
        <f t="shared" si="7"/>
        <v>4</v>
      </c>
      <c r="K24" s="145" t="s">
        <v>38</v>
      </c>
      <c r="L24" s="145" t="s">
        <v>38</v>
      </c>
      <c r="M24" s="145" t="s">
        <v>38</v>
      </c>
      <c r="N24" s="145" t="s">
        <v>38</v>
      </c>
      <c r="O24" s="145" t="str">
        <f t="shared" ref="O24:V27" si="11">IF(O$6="sun","Wo"," ")</f>
        <v>Wo</v>
      </c>
      <c r="P24" s="145" t="s">
        <v>38</v>
      </c>
      <c r="Q24" s="145" t="s">
        <v>38</v>
      </c>
      <c r="R24" s="145" t="s">
        <v>40</v>
      </c>
      <c r="S24" s="145" t="s">
        <v>38</v>
      </c>
      <c r="T24" s="145" t="s">
        <v>38</v>
      </c>
      <c r="U24" s="145" t="s">
        <v>38</v>
      </c>
      <c r="V24" s="145" t="str">
        <f t="shared" si="11"/>
        <v>Wo</v>
      </c>
      <c r="W24" s="145" t="s">
        <v>38</v>
      </c>
      <c r="X24" s="145" t="s">
        <v>38</v>
      </c>
      <c r="Y24" s="145" t="s">
        <v>38</v>
      </c>
      <c r="Z24" s="145" t="s">
        <v>40</v>
      </c>
      <c r="AA24" s="145" t="s">
        <v>38</v>
      </c>
      <c r="AB24" s="145" t="s">
        <v>38</v>
      </c>
      <c r="AC24" s="145" t="str">
        <f t="shared" ref="AC24:AJ27" si="12">IF(AC$6="sun","Wo"," ")</f>
        <v>Wo</v>
      </c>
      <c r="AD24" s="146" t="s">
        <v>38</v>
      </c>
      <c r="AE24" s="146" t="s">
        <v>38</v>
      </c>
      <c r="AF24" s="146" t="s">
        <v>40</v>
      </c>
      <c r="AG24" s="146" t="s">
        <v>38</v>
      </c>
      <c r="AH24" s="146" t="s">
        <v>38</v>
      </c>
      <c r="AI24" s="146" t="s">
        <v>38</v>
      </c>
      <c r="AJ24" s="146" t="str">
        <f t="shared" si="12"/>
        <v>Wo</v>
      </c>
      <c r="AK24" s="146" t="s">
        <v>39</v>
      </c>
      <c r="AL24" s="146" t="s">
        <v>38</v>
      </c>
      <c r="AM24" s="146" t="s">
        <v>38</v>
      </c>
      <c r="AN24" s="146" t="s">
        <v>40</v>
      </c>
      <c r="AO24" s="43" t="s">
        <v>38</v>
      </c>
      <c r="AP24" s="41"/>
      <c r="AQ24" s="28"/>
      <c r="AR24" s="7">
        <v>17</v>
      </c>
      <c r="AS24" s="107">
        <v>1017</v>
      </c>
      <c r="AT24" s="107" t="str">
        <f t="shared" si="3"/>
        <v>June</v>
      </c>
      <c r="AU24" s="107" t="s">
        <v>17</v>
      </c>
      <c r="AV24" s="110">
        <f t="shared" si="4"/>
        <v>22</v>
      </c>
      <c r="AW24" s="110">
        <f t="shared" si="5"/>
        <v>1</v>
      </c>
      <c r="AX24" s="110">
        <f t="shared" si="6"/>
        <v>4</v>
      </c>
      <c r="AY24" s="110">
        <f t="shared" si="8"/>
        <v>4</v>
      </c>
      <c r="AZ24" s="113">
        <f t="shared" si="9"/>
        <v>30</v>
      </c>
      <c r="BA24" s="113">
        <f t="shared" si="10"/>
        <v>29</v>
      </c>
      <c r="BB24" s="116">
        <v>35000</v>
      </c>
      <c r="BC24" s="123">
        <f>JuneReport[[#This Row],[SALARY]]/JuneReport[[#This Row],[PAID DAYS]]</f>
        <v>1206.8965517241379</v>
      </c>
      <c r="BD24" s="119">
        <f>JuneReport[[#This Row],[SALARY]]-JuneReport[[#This Row],[ DEDUCTION]]</f>
        <v>33793.103448275862</v>
      </c>
      <c r="BE24" s="121"/>
      <c r="BF24" s="27"/>
      <c r="BG24" s="27"/>
      <c r="BH24" s="30"/>
      <c r="BI24" s="30"/>
      <c r="BJ24" s="30"/>
      <c r="BK24" s="30"/>
      <c r="BL24" s="30"/>
      <c r="BM24" s="30"/>
    </row>
    <row r="25" spans="4:65" ht="30" customHeight="1">
      <c r="D25" s="25"/>
      <c r="E25" s="25"/>
      <c r="F25" s="25"/>
      <c r="G25" s="42">
        <v>18</v>
      </c>
      <c r="H25" s="145">
        <v>1018</v>
      </c>
      <c r="I25" s="11" t="s">
        <v>18</v>
      </c>
      <c r="J25" s="42">
        <f t="shared" si="7"/>
        <v>4</v>
      </c>
      <c r="K25" s="145" t="s">
        <v>38</v>
      </c>
      <c r="L25" s="145" t="s">
        <v>38</v>
      </c>
      <c r="M25" s="145" t="s">
        <v>39</v>
      </c>
      <c r="N25" s="145" t="s">
        <v>38</v>
      </c>
      <c r="O25" s="145" t="str">
        <f t="shared" si="11"/>
        <v>Wo</v>
      </c>
      <c r="P25" s="145" t="s">
        <v>38</v>
      </c>
      <c r="Q25" s="145" t="s">
        <v>38</v>
      </c>
      <c r="R25" s="145" t="s">
        <v>40</v>
      </c>
      <c r="S25" s="145" t="s">
        <v>38</v>
      </c>
      <c r="T25" s="145" t="s">
        <v>38</v>
      </c>
      <c r="U25" s="145" t="s">
        <v>38</v>
      </c>
      <c r="V25" s="145" t="str">
        <f t="shared" si="11"/>
        <v>Wo</v>
      </c>
      <c r="W25" s="145" t="s">
        <v>38</v>
      </c>
      <c r="X25" s="145" t="s">
        <v>38</v>
      </c>
      <c r="Y25" s="145" t="s">
        <v>38</v>
      </c>
      <c r="Z25" s="145" t="s">
        <v>40</v>
      </c>
      <c r="AA25" s="145" t="s">
        <v>38</v>
      </c>
      <c r="AB25" s="145" t="s">
        <v>38</v>
      </c>
      <c r="AC25" s="145" t="str">
        <f t="shared" si="12"/>
        <v>Wo</v>
      </c>
      <c r="AD25" s="146" t="s">
        <v>38</v>
      </c>
      <c r="AE25" s="146" t="s">
        <v>38</v>
      </c>
      <c r="AF25" s="146" t="s">
        <v>40</v>
      </c>
      <c r="AG25" s="146" t="s">
        <v>38</v>
      </c>
      <c r="AH25" s="146" t="s">
        <v>38</v>
      </c>
      <c r="AI25" s="146" t="s">
        <v>38</v>
      </c>
      <c r="AJ25" s="146" t="str">
        <f t="shared" si="12"/>
        <v>Wo</v>
      </c>
      <c r="AK25" s="146" t="s">
        <v>38</v>
      </c>
      <c r="AL25" s="146" t="s">
        <v>38</v>
      </c>
      <c r="AM25" s="146" t="s">
        <v>38</v>
      </c>
      <c r="AN25" s="146" t="s">
        <v>40</v>
      </c>
      <c r="AO25" s="43" t="s">
        <v>38</v>
      </c>
      <c r="AP25" s="41"/>
      <c r="AQ25" s="28"/>
      <c r="AR25" s="7">
        <v>18</v>
      </c>
      <c r="AS25" s="107">
        <v>1018</v>
      </c>
      <c r="AT25" s="107" t="str">
        <f t="shared" si="3"/>
        <v>June</v>
      </c>
      <c r="AU25" s="107" t="s">
        <v>18</v>
      </c>
      <c r="AV25" s="110">
        <f t="shared" si="4"/>
        <v>22</v>
      </c>
      <c r="AW25" s="110">
        <f t="shared" si="5"/>
        <v>1</v>
      </c>
      <c r="AX25" s="110">
        <f t="shared" si="6"/>
        <v>4</v>
      </c>
      <c r="AY25" s="110">
        <f t="shared" si="8"/>
        <v>4</v>
      </c>
      <c r="AZ25" s="113">
        <f t="shared" si="9"/>
        <v>30</v>
      </c>
      <c r="BA25" s="113">
        <f t="shared" si="10"/>
        <v>29</v>
      </c>
      <c r="BB25" s="116">
        <v>12000</v>
      </c>
      <c r="BC25" s="123">
        <f>JuneReport[[#This Row],[SALARY]]/JuneReport[[#This Row],[PAID DAYS]]</f>
        <v>413.79310344827587</v>
      </c>
      <c r="BD25" s="119">
        <f>JuneReport[[#This Row],[SALARY]]-JuneReport[[#This Row],[ DEDUCTION]]</f>
        <v>11586.206896551725</v>
      </c>
      <c r="BE25" s="121"/>
      <c r="BF25" s="27"/>
      <c r="BG25" s="27"/>
      <c r="BH25" s="30"/>
      <c r="BI25" s="30"/>
      <c r="BJ25" s="30"/>
      <c r="BK25" s="30"/>
      <c r="BL25" s="30"/>
      <c r="BM25" s="30"/>
    </row>
    <row r="26" spans="4:65" ht="30" customHeight="1">
      <c r="D26" s="25"/>
      <c r="E26" s="25"/>
      <c r="F26" s="25"/>
      <c r="G26" s="42">
        <v>19</v>
      </c>
      <c r="H26" s="145">
        <v>1019</v>
      </c>
      <c r="I26" s="11" t="s">
        <v>19</v>
      </c>
      <c r="J26" s="42">
        <f t="shared" si="7"/>
        <v>4</v>
      </c>
      <c r="K26" s="145" t="s">
        <v>38</v>
      </c>
      <c r="L26" s="145" t="s">
        <v>38</v>
      </c>
      <c r="M26" s="145" t="s">
        <v>38</v>
      </c>
      <c r="N26" s="145" t="s">
        <v>38</v>
      </c>
      <c r="O26" s="145" t="str">
        <f t="shared" si="11"/>
        <v>Wo</v>
      </c>
      <c r="P26" s="145" t="s">
        <v>38</v>
      </c>
      <c r="Q26" s="145" t="s">
        <v>38</v>
      </c>
      <c r="R26" s="145" t="s">
        <v>40</v>
      </c>
      <c r="S26" s="145" t="s">
        <v>38</v>
      </c>
      <c r="T26" s="145" t="s">
        <v>38</v>
      </c>
      <c r="U26" s="145" t="s">
        <v>38</v>
      </c>
      <c r="V26" s="145" t="str">
        <f t="shared" si="11"/>
        <v>Wo</v>
      </c>
      <c r="W26" s="145" t="s">
        <v>38</v>
      </c>
      <c r="X26" s="145" t="s">
        <v>38</v>
      </c>
      <c r="Y26" s="145" t="s">
        <v>38</v>
      </c>
      <c r="Z26" s="145" t="s">
        <v>40</v>
      </c>
      <c r="AA26" s="145" t="s">
        <v>38</v>
      </c>
      <c r="AB26" s="145" t="s">
        <v>38</v>
      </c>
      <c r="AC26" s="145" t="str">
        <f t="shared" si="12"/>
        <v>Wo</v>
      </c>
      <c r="AD26" s="146" t="s">
        <v>38</v>
      </c>
      <c r="AE26" s="146" t="s">
        <v>38</v>
      </c>
      <c r="AF26" s="146" t="s">
        <v>40</v>
      </c>
      <c r="AG26" s="146" t="s">
        <v>38</v>
      </c>
      <c r="AH26" s="146" t="s">
        <v>38</v>
      </c>
      <c r="AI26" s="146" t="s">
        <v>38</v>
      </c>
      <c r="AJ26" s="146" t="str">
        <f t="shared" si="12"/>
        <v>Wo</v>
      </c>
      <c r="AK26" s="146" t="s">
        <v>38</v>
      </c>
      <c r="AL26" s="146" t="s">
        <v>38</v>
      </c>
      <c r="AM26" s="146" t="s">
        <v>38</v>
      </c>
      <c r="AN26" s="146" t="s">
        <v>40</v>
      </c>
      <c r="AO26" s="43" t="s">
        <v>38</v>
      </c>
      <c r="AP26" s="41"/>
      <c r="AQ26" s="28"/>
      <c r="AR26" s="7">
        <v>19</v>
      </c>
      <c r="AS26" s="107">
        <v>1019</v>
      </c>
      <c r="AT26" s="107" t="str">
        <f t="shared" si="3"/>
        <v>June</v>
      </c>
      <c r="AU26" s="107" t="s">
        <v>19</v>
      </c>
      <c r="AV26" s="110">
        <f t="shared" si="4"/>
        <v>23</v>
      </c>
      <c r="AW26" s="110">
        <f t="shared" si="5"/>
        <v>0</v>
      </c>
      <c r="AX26" s="110">
        <f t="shared" si="6"/>
        <v>4</v>
      </c>
      <c r="AY26" s="110">
        <f t="shared" si="8"/>
        <v>4</v>
      </c>
      <c r="AZ26" s="113">
        <f t="shared" si="9"/>
        <v>30</v>
      </c>
      <c r="BA26" s="113">
        <f t="shared" si="10"/>
        <v>30</v>
      </c>
      <c r="BB26" s="116">
        <v>19000</v>
      </c>
      <c r="BC26" s="123">
        <f>JuneReport[[#This Row],[SALARY]]/JuneReport[[#This Row],[PAID DAYS]]</f>
        <v>633.33333333333337</v>
      </c>
      <c r="BD26" s="119">
        <f>JuneReport[[#This Row],[SALARY]]-JuneReport[[#This Row],[ DEDUCTION]]</f>
        <v>18366.666666666668</v>
      </c>
      <c r="BE26" s="121"/>
      <c r="BF26" s="27"/>
      <c r="BG26" s="27"/>
      <c r="BH26" s="30"/>
      <c r="BI26" s="30"/>
      <c r="BJ26" s="30"/>
      <c r="BK26" s="30"/>
      <c r="BL26" s="30"/>
      <c r="BM26" s="30"/>
    </row>
    <row r="27" spans="4:65" ht="30" customHeight="1" thickBot="1">
      <c r="D27" s="25"/>
      <c r="E27" s="25"/>
      <c r="F27" s="25"/>
      <c r="G27" s="44">
        <v>20</v>
      </c>
      <c r="H27" s="45">
        <v>1020</v>
      </c>
      <c r="I27" s="46" t="s">
        <v>20</v>
      </c>
      <c r="J27" s="44">
        <f t="shared" si="7"/>
        <v>4</v>
      </c>
      <c r="K27" s="45" t="s">
        <v>38</v>
      </c>
      <c r="L27" s="45" t="s">
        <v>38</v>
      </c>
      <c r="M27" s="45" t="s">
        <v>38</v>
      </c>
      <c r="N27" s="45" t="s">
        <v>38</v>
      </c>
      <c r="O27" s="45" t="str">
        <f t="shared" si="11"/>
        <v>Wo</v>
      </c>
      <c r="P27" s="45" t="s">
        <v>38</v>
      </c>
      <c r="Q27" s="45" t="s">
        <v>38</v>
      </c>
      <c r="R27" s="45" t="s">
        <v>40</v>
      </c>
      <c r="S27" s="45" t="s">
        <v>38</v>
      </c>
      <c r="T27" s="45" t="s">
        <v>38</v>
      </c>
      <c r="U27" s="45" t="s">
        <v>38</v>
      </c>
      <c r="V27" s="45" t="str">
        <f t="shared" si="11"/>
        <v>Wo</v>
      </c>
      <c r="W27" s="45" t="s">
        <v>38</v>
      </c>
      <c r="X27" s="45" t="s">
        <v>38</v>
      </c>
      <c r="Y27" s="45" t="s">
        <v>38</v>
      </c>
      <c r="Z27" s="45" t="s">
        <v>40</v>
      </c>
      <c r="AA27" s="45" t="s">
        <v>38</v>
      </c>
      <c r="AB27" s="45" t="s">
        <v>38</v>
      </c>
      <c r="AC27" s="45" t="str">
        <f t="shared" si="12"/>
        <v>Wo</v>
      </c>
      <c r="AD27" s="47" t="s">
        <v>38</v>
      </c>
      <c r="AE27" s="47" t="s">
        <v>38</v>
      </c>
      <c r="AF27" s="47" t="s">
        <v>40</v>
      </c>
      <c r="AG27" s="47" t="s">
        <v>38</v>
      </c>
      <c r="AH27" s="47" t="s">
        <v>38</v>
      </c>
      <c r="AI27" s="47" t="s">
        <v>38</v>
      </c>
      <c r="AJ27" s="47" t="str">
        <f t="shared" si="12"/>
        <v>Wo</v>
      </c>
      <c r="AK27" s="47" t="s">
        <v>38</v>
      </c>
      <c r="AL27" s="47" t="s">
        <v>38</v>
      </c>
      <c r="AM27" s="47" t="s">
        <v>38</v>
      </c>
      <c r="AN27" s="47" t="s">
        <v>40</v>
      </c>
      <c r="AO27" s="48" t="s">
        <v>38</v>
      </c>
      <c r="AP27" s="41"/>
      <c r="AQ27" s="28"/>
      <c r="AR27" s="7">
        <v>20</v>
      </c>
      <c r="AS27" s="107">
        <v>1020</v>
      </c>
      <c r="AT27" s="107" t="str">
        <f t="shared" si="3"/>
        <v>June</v>
      </c>
      <c r="AU27" s="107" t="s">
        <v>20</v>
      </c>
      <c r="AV27" s="110">
        <f t="shared" si="4"/>
        <v>23</v>
      </c>
      <c r="AW27" s="110">
        <f t="shared" si="5"/>
        <v>0</v>
      </c>
      <c r="AX27" s="110">
        <f t="shared" si="6"/>
        <v>4</v>
      </c>
      <c r="AY27" s="110">
        <f t="shared" si="8"/>
        <v>4</v>
      </c>
      <c r="AZ27" s="113">
        <f t="shared" si="9"/>
        <v>30</v>
      </c>
      <c r="BA27" s="113">
        <f t="shared" si="10"/>
        <v>30</v>
      </c>
      <c r="BB27" s="116">
        <v>21000</v>
      </c>
      <c r="BC27" s="123">
        <f>JuneReport[[#This Row],[SALARY]]/JuneReport[[#This Row],[PAID DAYS]]</f>
        <v>700</v>
      </c>
      <c r="BD27" s="119">
        <f>JuneReport[[#This Row],[SALARY]]-JuneReport[[#This Row],[ DEDUCTION]]</f>
        <v>20300</v>
      </c>
      <c r="BE27" s="121"/>
      <c r="BF27" s="27"/>
      <c r="BG27" s="27"/>
      <c r="BH27" s="30"/>
      <c r="BI27" s="30"/>
      <c r="BJ27" s="30"/>
      <c r="BK27" s="30"/>
      <c r="BL27" s="30"/>
      <c r="BM27" s="30"/>
    </row>
    <row r="28" spans="4:65" ht="30" customHeight="1"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7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7"/>
      <c r="BF28" s="27"/>
      <c r="BG28" s="27"/>
      <c r="BH28" s="30"/>
      <c r="BI28" s="30"/>
      <c r="BJ28" s="30"/>
      <c r="BK28" s="30"/>
      <c r="BL28" s="30"/>
      <c r="BM28" s="30"/>
    </row>
    <row r="29" spans="4:65" ht="30" customHeight="1"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7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7"/>
      <c r="BF29" s="27"/>
      <c r="BG29" s="27"/>
      <c r="BH29" s="30"/>
      <c r="BI29" s="30"/>
      <c r="BJ29" s="30"/>
      <c r="BK29" s="30"/>
      <c r="BL29" s="30"/>
      <c r="BM29" s="30"/>
    </row>
    <row r="30" spans="4:65" ht="30" customHeight="1"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7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7"/>
      <c r="BF30" s="27"/>
      <c r="BG30" s="27"/>
      <c r="BH30" s="30"/>
      <c r="BI30" s="30"/>
      <c r="BJ30" s="30"/>
      <c r="BK30" s="30"/>
      <c r="BL30" s="30"/>
      <c r="BM30" s="30"/>
    </row>
    <row r="31" spans="4:65" ht="30" customHeight="1"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7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7"/>
      <c r="BF31" s="27"/>
      <c r="BG31" s="27"/>
      <c r="BH31" s="30"/>
      <c r="BI31" s="30"/>
      <c r="BJ31" s="30"/>
      <c r="BK31" s="30"/>
      <c r="BL31" s="30"/>
      <c r="BM31" s="30"/>
    </row>
    <row r="32" spans="4:65" ht="30" customHeight="1"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7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7"/>
      <c r="BF32" s="27"/>
      <c r="BG32" s="27"/>
      <c r="BH32" s="30"/>
      <c r="BI32" s="30"/>
      <c r="BJ32" s="30"/>
      <c r="BK32" s="30"/>
      <c r="BL32" s="30"/>
      <c r="BM32" s="30"/>
    </row>
    <row r="33" spans="1:65" ht="30" customHeight="1"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7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7"/>
      <c r="BF33" s="27"/>
      <c r="BG33" s="27"/>
      <c r="BH33" s="30"/>
      <c r="BI33" s="30"/>
      <c r="BJ33" s="30"/>
      <c r="BK33" s="30"/>
      <c r="BL33" s="30"/>
      <c r="BM33" s="30"/>
    </row>
    <row r="34" spans="1:65" ht="30" customHeight="1"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7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7"/>
      <c r="BF34" s="27"/>
      <c r="BG34" s="27"/>
      <c r="BH34" s="30"/>
      <c r="BI34" s="30"/>
      <c r="BJ34" s="30"/>
      <c r="BK34" s="30"/>
      <c r="BL34" s="30"/>
      <c r="BM34" s="30"/>
    </row>
    <row r="35" spans="1:65" ht="30" customHeight="1"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7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7"/>
      <c r="BF35" s="27"/>
      <c r="BG35" s="27"/>
      <c r="BH35" s="30"/>
      <c r="BI35" s="30"/>
      <c r="BJ35" s="30"/>
      <c r="BK35" s="30"/>
      <c r="BL35" s="30"/>
      <c r="BM35" s="30"/>
    </row>
    <row r="36" spans="1:65" ht="30" customHeight="1"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7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7"/>
      <c r="BF36" s="27"/>
      <c r="BG36" s="27"/>
      <c r="BH36" s="30"/>
      <c r="BI36" s="30"/>
      <c r="BJ36" s="30"/>
      <c r="BK36" s="30"/>
      <c r="BL36" s="30"/>
      <c r="BM36" s="30"/>
    </row>
    <row r="37" spans="1:65" ht="30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30"/>
      <c r="BF37" s="30"/>
      <c r="BG37" s="30"/>
      <c r="BH37" s="30"/>
      <c r="BI37" s="30"/>
      <c r="BJ37" s="30"/>
      <c r="BK37" s="30"/>
      <c r="BL37" s="30"/>
      <c r="BM37" s="30"/>
    </row>
    <row r="38" spans="1:65" ht="30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30"/>
      <c r="BF38" s="30"/>
      <c r="BG38" s="30"/>
      <c r="BH38" s="30"/>
      <c r="BI38" s="30"/>
      <c r="BJ38" s="30"/>
      <c r="BK38" s="30"/>
      <c r="BL38" s="30"/>
      <c r="BM38" s="30"/>
    </row>
    <row r="39" spans="1:65" ht="30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30"/>
      <c r="BF39" s="30"/>
      <c r="BG39" s="30"/>
      <c r="BH39" s="30"/>
      <c r="BI39" s="30"/>
      <c r="BJ39" s="30"/>
      <c r="BK39" s="30"/>
      <c r="BL39" s="30"/>
      <c r="BM39" s="30"/>
    </row>
    <row r="40" spans="1:65" ht="30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30"/>
      <c r="BF40" s="30"/>
      <c r="BG40" s="30"/>
      <c r="BH40" s="30"/>
      <c r="BI40" s="30"/>
      <c r="BJ40" s="30"/>
      <c r="BK40" s="30"/>
      <c r="BL40" s="30"/>
      <c r="BM40" s="30"/>
    </row>
    <row r="41" spans="1:65" ht="30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30"/>
      <c r="BF41" s="30"/>
      <c r="BG41" s="30"/>
      <c r="BH41" s="30"/>
      <c r="BI41" s="30"/>
      <c r="BJ41" s="30"/>
      <c r="BK41" s="30"/>
      <c r="BL41" s="30"/>
      <c r="BM41" s="30"/>
    </row>
    <row r="42" spans="1:65" ht="30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30"/>
      <c r="BF42" s="30"/>
      <c r="BG42" s="30"/>
      <c r="BH42" s="30"/>
      <c r="BI42" s="30"/>
      <c r="BJ42" s="30"/>
      <c r="BK42" s="30"/>
      <c r="BL42" s="30"/>
      <c r="BM42" s="30"/>
    </row>
    <row r="43" spans="1:65" ht="30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30"/>
      <c r="BF43" s="30"/>
      <c r="BG43" s="30"/>
      <c r="BH43" s="30"/>
      <c r="BI43" s="30"/>
      <c r="BJ43" s="30"/>
      <c r="BK43" s="30"/>
      <c r="BL43" s="30"/>
      <c r="BM43" s="30"/>
    </row>
    <row r="44" spans="1:65" ht="30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30"/>
      <c r="BF44" s="30"/>
      <c r="BG44" s="30"/>
      <c r="BH44" s="30"/>
      <c r="BI44" s="30"/>
      <c r="BJ44" s="30"/>
      <c r="BK44" s="30"/>
      <c r="BL44" s="30"/>
      <c r="BM44" s="30"/>
    </row>
    <row r="45" spans="1:65" ht="30" customHeight="1">
      <c r="A45" s="30"/>
      <c r="B45" s="30"/>
      <c r="C45" s="30"/>
      <c r="D45" s="30"/>
      <c r="E45" s="30"/>
      <c r="AP45" s="30"/>
      <c r="AQ45" s="49"/>
      <c r="BF45" s="30"/>
      <c r="BG45" s="30"/>
      <c r="BH45" s="30"/>
      <c r="BI45" s="30"/>
      <c r="BJ45" s="30"/>
      <c r="BK45" s="30"/>
      <c r="BL45" s="30"/>
      <c r="BM45" s="30"/>
    </row>
    <row r="46" spans="1:65" ht="30" customHeight="1">
      <c r="AP46" s="30"/>
      <c r="AQ46" s="49"/>
      <c r="BF46" s="30"/>
      <c r="BG46" s="30"/>
      <c r="BH46" s="30"/>
      <c r="BI46" s="30"/>
      <c r="BJ46" s="30"/>
      <c r="BK46" s="30"/>
      <c r="BL46" s="30"/>
      <c r="BM46" s="30"/>
    </row>
    <row r="47" spans="1:65" ht="30" customHeight="1">
      <c r="AP47" s="30"/>
      <c r="AQ47" s="49"/>
      <c r="BF47" s="30"/>
      <c r="BG47" s="30"/>
      <c r="BH47" s="30"/>
      <c r="BI47" s="30"/>
      <c r="BJ47" s="30"/>
      <c r="BK47" s="30"/>
      <c r="BL47" s="30"/>
      <c r="BM47" s="30"/>
    </row>
    <row r="48" spans="1:65" ht="30" customHeight="1">
      <c r="AP48" s="30"/>
      <c r="AQ48" s="49"/>
      <c r="BF48" s="30"/>
      <c r="BG48" s="30"/>
      <c r="BH48" s="30"/>
      <c r="BI48" s="30"/>
      <c r="BJ48" s="30"/>
      <c r="BK48" s="30"/>
      <c r="BL48" s="30"/>
      <c r="BM48" s="30"/>
    </row>
    <row r="49" spans="42:65" ht="30" customHeight="1">
      <c r="AP49" s="30"/>
      <c r="AQ49" s="49"/>
      <c r="BF49" s="30"/>
      <c r="BG49" s="30"/>
      <c r="BH49" s="30"/>
      <c r="BI49" s="30"/>
      <c r="BJ49" s="30"/>
      <c r="BK49" s="30"/>
      <c r="BL49" s="30"/>
      <c r="BM49" s="30"/>
    </row>
    <row r="50" spans="42:65" ht="30" customHeight="1">
      <c r="AP50" s="30"/>
      <c r="AQ50" s="49"/>
      <c r="BF50" s="30"/>
      <c r="BG50" s="30"/>
      <c r="BH50" s="30"/>
      <c r="BI50" s="30"/>
      <c r="BJ50" s="30"/>
      <c r="BK50" s="30"/>
      <c r="BL50" s="30"/>
      <c r="BM50" s="30"/>
    </row>
    <row r="51" spans="42:65" ht="30" customHeight="1">
      <c r="AP51" s="30"/>
      <c r="AQ51" s="49"/>
    </row>
    <row r="52" spans="42:65" ht="30" customHeight="1">
      <c r="AP52" s="30"/>
      <c r="AQ52" s="49"/>
    </row>
    <row r="53" spans="42:65" ht="30" customHeight="1">
      <c r="AP53" s="30"/>
      <c r="AQ53" s="49"/>
    </row>
    <row r="54" spans="42:65" ht="30" customHeight="1">
      <c r="AP54" s="30"/>
      <c r="AQ54" s="49"/>
    </row>
    <row r="55" spans="42:65" ht="30" customHeight="1">
      <c r="AP55" s="30"/>
      <c r="AQ55" s="49"/>
    </row>
    <row r="56" spans="42:65" ht="30" customHeight="1">
      <c r="AP56" s="30"/>
      <c r="AQ56" s="49"/>
    </row>
    <row r="57" spans="42:65" ht="30" customHeight="1">
      <c r="AP57" s="30"/>
      <c r="AQ57" s="49"/>
    </row>
    <row r="58" spans="42:65" ht="30" customHeight="1">
      <c r="AP58" s="30"/>
      <c r="AQ58" s="49"/>
    </row>
    <row r="59" spans="42:65" ht="30" customHeight="1">
      <c r="AP59" s="30"/>
      <c r="AQ59" s="49"/>
    </row>
    <row r="60" spans="42:65" ht="30" customHeight="1">
      <c r="AP60" s="30"/>
      <c r="AQ60" s="49"/>
    </row>
    <row r="61" spans="42:65" ht="30" customHeight="1">
      <c r="AP61" s="30"/>
      <c r="AQ61" s="49"/>
    </row>
    <row r="62" spans="42:65" ht="30" customHeight="1"/>
    <row r="63" spans="42:65" ht="30" customHeight="1"/>
    <row r="64" spans="42:65" ht="30" customHeight="1"/>
    <row r="65" ht="30" customHeight="1"/>
  </sheetData>
  <mergeCells count="1">
    <mergeCell ref="G6:I6"/>
  </mergeCells>
  <conditionalFormatting sqref="J6:AO27">
    <cfRule type="containsText" dxfId="30" priority="4" operator="containsText" text="WO">
      <formula>NOT(ISERROR(SEARCH("WO",J6)))</formula>
    </cfRule>
  </conditionalFormatting>
  <conditionalFormatting sqref="K8:AO27">
    <cfRule type="containsText" dxfId="29" priority="1" operator="containsText" text="L">
      <formula>NOT(ISERROR(SEARCH("L",K8)))</formula>
    </cfRule>
    <cfRule type="containsText" dxfId="28" priority="2" operator="containsText" text="A">
      <formula>NOT(ISERROR(SEARCH("A",K8)))</formula>
    </cfRule>
    <cfRule type="containsText" dxfId="27" priority="3" operator="containsText" text="P">
      <formula>NOT(ISERROR(SEARCH("P",K8)))</formula>
    </cfRule>
  </conditionalFormatting>
  <dataValidations count="1">
    <dataValidation type="list" allowBlank="1" showInputMessage="1" showErrorMessage="1" sqref="K8:N27 AK8:AO27 P8:U27 W8:AB27 AD8:AI27" xr:uid="{7DF6FB2B-D941-429F-B622-EEB9C75DCC6C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B67305-1EFE-4F0A-94E3-5A99EE972496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668737F-AFEE-4250-871F-8EDB5DE89B25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JUNE!AV8:AY8</xm:f>
              <xm:sqref>BE8</xm:sqref>
            </x14:sparkline>
            <x14:sparkline>
              <xm:f>JUNE!AV9:AY9</xm:f>
              <xm:sqref>BE9</xm:sqref>
            </x14:sparkline>
            <x14:sparkline>
              <xm:f>JUNE!AV10:AY10</xm:f>
              <xm:sqref>BE10</xm:sqref>
            </x14:sparkline>
            <x14:sparkline>
              <xm:f>JUNE!AV11:AY11</xm:f>
              <xm:sqref>BE11</xm:sqref>
            </x14:sparkline>
            <x14:sparkline>
              <xm:f>JUNE!AV12:AY12</xm:f>
              <xm:sqref>BE12</xm:sqref>
            </x14:sparkline>
            <x14:sparkline>
              <xm:f>JUNE!AV13:AY13</xm:f>
              <xm:sqref>BE13</xm:sqref>
            </x14:sparkline>
            <x14:sparkline>
              <xm:f>JUNE!AV14:AY14</xm:f>
              <xm:sqref>BE14</xm:sqref>
            </x14:sparkline>
            <x14:sparkline>
              <xm:f>JUNE!AV15:AY15</xm:f>
              <xm:sqref>BE15</xm:sqref>
            </x14:sparkline>
            <x14:sparkline>
              <xm:f>JUNE!AV16:AY16</xm:f>
              <xm:sqref>BE16</xm:sqref>
            </x14:sparkline>
            <x14:sparkline>
              <xm:f>JUNE!AV17:AY17</xm:f>
              <xm:sqref>BE17</xm:sqref>
            </x14:sparkline>
            <x14:sparkline>
              <xm:f>JUNE!AV18:AY18</xm:f>
              <xm:sqref>BE18</xm:sqref>
            </x14:sparkline>
            <x14:sparkline>
              <xm:f>JUNE!AV19:AY19</xm:f>
              <xm:sqref>BE19</xm:sqref>
            </x14:sparkline>
            <x14:sparkline>
              <xm:f>JUNE!AV20:AY20</xm:f>
              <xm:sqref>BE20</xm:sqref>
            </x14:sparkline>
            <x14:sparkline>
              <xm:f>JUNE!AV21:AY21</xm:f>
              <xm:sqref>BE21</xm:sqref>
            </x14:sparkline>
            <x14:sparkline>
              <xm:f>JUNE!AV22:AY22</xm:f>
              <xm:sqref>BE22</xm:sqref>
            </x14:sparkline>
            <x14:sparkline>
              <xm:f>JUNE!AV23:AY23</xm:f>
              <xm:sqref>BE23</xm:sqref>
            </x14:sparkline>
            <x14:sparkline>
              <xm:f>JUNE!AV24:AY24</xm:f>
              <xm:sqref>BE24</xm:sqref>
            </x14:sparkline>
            <x14:sparkline>
              <xm:f>JUNE!AV25:AY25</xm:f>
              <xm:sqref>BE25</xm:sqref>
            </x14:sparkline>
            <x14:sparkline>
              <xm:f>JUNE!AV26:AY26</xm:f>
              <xm:sqref>BE26</xm:sqref>
            </x14:sparkline>
            <x14:sparkline>
              <xm:f>JUNE!AV27:AY27</xm:f>
              <xm:sqref>BE27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D817-3997-45D6-B009-64406E06BF54}">
  <dimension ref="A1:BM65"/>
  <sheetViews>
    <sheetView zoomScale="50" zoomScaleNormal="50" workbookViewId="0">
      <selection activeCell="G6" sqref="G6:AO27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50" width="15.140625" style="3" customWidth="1"/>
    <col min="51" max="51" width="16" style="3" customWidth="1"/>
    <col min="52" max="53" width="16.85546875" style="3" customWidth="1"/>
    <col min="54" max="54" width="27.42578125" style="3" customWidth="1"/>
    <col min="55" max="55" width="17.7109375" style="3" customWidth="1"/>
    <col min="56" max="56" width="18.5703125" style="3" customWidth="1"/>
    <col min="57" max="57" width="23.42578125" style="2" customWidth="1"/>
    <col min="58" max="16384" width="9.140625" style="2"/>
  </cols>
  <sheetData>
    <row r="1" spans="4:65" ht="30" customHeight="1" thickBot="1">
      <c r="AP1" s="14"/>
      <c r="AQ1" s="13"/>
      <c r="BF1" s="14"/>
      <c r="BG1" s="14"/>
      <c r="BH1" s="4"/>
      <c r="BI1" s="4"/>
      <c r="BJ1" s="4"/>
      <c r="BK1" s="4"/>
      <c r="BL1" s="4"/>
      <c r="BM1" s="4"/>
    </row>
    <row r="2" spans="4:65" ht="30" customHeight="1" thickBot="1">
      <c r="AP2" s="69"/>
      <c r="AQ2" s="70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2"/>
      <c r="BF2" s="73"/>
      <c r="BG2" s="74"/>
      <c r="BH2" s="4"/>
      <c r="BI2" s="4"/>
      <c r="BJ2" s="4"/>
      <c r="BK2" s="4"/>
      <c r="BL2" s="4"/>
      <c r="BM2" s="4"/>
    </row>
    <row r="3" spans="4:65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75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76"/>
      <c r="BH3" s="4"/>
      <c r="BI3" s="4"/>
      <c r="BJ3" s="4"/>
      <c r="BK3" s="4"/>
      <c r="BL3" s="4"/>
      <c r="BM3" s="4"/>
    </row>
    <row r="4" spans="4:65" ht="30" customHeight="1">
      <c r="D4" s="55"/>
      <c r="E4" s="56"/>
      <c r="F4" s="56"/>
      <c r="G4" s="57" t="s">
        <v>24</v>
      </c>
      <c r="H4" s="58"/>
      <c r="I4" s="59">
        <v>45839</v>
      </c>
      <c r="J4" s="60"/>
      <c r="K4" s="12">
        <f>(DATEDIF(I4,O4,"D"))+1</f>
        <v>31</v>
      </c>
      <c r="L4" s="50" t="str">
        <f>TEXT(I4,"MMMM")</f>
        <v>July</v>
      </c>
      <c r="M4" s="12" t="s">
        <v>28</v>
      </c>
      <c r="N4" s="61"/>
      <c r="O4" s="59">
        <f>EOMONTH(I4,0)</f>
        <v>45869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75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76"/>
      <c r="BH4" s="4"/>
      <c r="BI4" s="4"/>
      <c r="BJ4" s="4"/>
      <c r="BK4" s="4"/>
      <c r="BL4" s="4"/>
      <c r="BM4" s="4"/>
    </row>
    <row r="5" spans="4:65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75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76"/>
      <c r="BH5" s="4"/>
      <c r="BI5" s="4"/>
      <c r="BJ5" s="4"/>
      <c r="BK5" s="4"/>
      <c r="BL5" s="4"/>
      <c r="BM5" s="4"/>
    </row>
    <row r="6" spans="4:65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20" t="str">
        <f t="shared" si="0"/>
        <v>Fri</v>
      </c>
      <c r="AP6" s="75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76"/>
      <c r="BH6" s="4"/>
      <c r="BI6" s="4"/>
      <c r="BJ6" s="4"/>
      <c r="BK6" s="4"/>
      <c r="BL6" s="4"/>
      <c r="BM6" s="4"/>
    </row>
    <row r="7" spans="4:65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64">
        <f t="shared" si="1"/>
        <v>45676</v>
      </c>
      <c r="AD7" s="64">
        <f t="shared" si="1"/>
        <v>45677</v>
      </c>
      <c r="AE7" s="64">
        <f t="shared" si="1"/>
        <v>45678</v>
      </c>
      <c r="AF7" s="64">
        <f t="shared" si="1"/>
        <v>45679</v>
      </c>
      <c r="AG7" s="64">
        <f t="shared" si="1"/>
        <v>45680</v>
      </c>
      <c r="AH7" s="64">
        <f t="shared" si="1"/>
        <v>45681</v>
      </c>
      <c r="AI7" s="64">
        <f t="shared" si="1"/>
        <v>45682</v>
      </c>
      <c r="AJ7" s="64">
        <f t="shared" si="1"/>
        <v>45683</v>
      </c>
      <c r="AK7" s="64">
        <f t="shared" si="1"/>
        <v>45684</v>
      </c>
      <c r="AL7" s="64">
        <f t="shared" si="1"/>
        <v>45685</v>
      </c>
      <c r="AM7" s="64">
        <f t="shared" si="1"/>
        <v>45686</v>
      </c>
      <c r="AN7" s="64">
        <f t="shared" si="1"/>
        <v>45687</v>
      </c>
      <c r="AO7" s="23">
        <f t="shared" si="1"/>
        <v>45688</v>
      </c>
      <c r="AP7" s="77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9" t="s">
        <v>41</v>
      </c>
      <c r="BE7" s="138" t="s">
        <v>37</v>
      </c>
      <c r="BF7" s="14"/>
      <c r="BG7" s="76"/>
      <c r="BH7" s="4"/>
      <c r="BI7" s="4"/>
      <c r="BJ7" s="4"/>
      <c r="BK7" s="4"/>
      <c r="BL7" s="4"/>
      <c r="BM7" s="4"/>
    </row>
    <row r="8" spans="4:65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38</v>
      </c>
      <c r="L8" s="51" t="s">
        <v>38</v>
      </c>
      <c r="M8" s="51" t="s">
        <v>38</v>
      </c>
      <c r="N8" s="51" t="s">
        <v>38</v>
      </c>
      <c r="O8" s="51" t="str">
        <f t="shared" ref="O8:AJ23" si="2">IF(O$6="sun","Wo"," ")</f>
        <v>Wo</v>
      </c>
      <c r="P8" s="51" t="s">
        <v>39</v>
      </c>
      <c r="Q8" s="51" t="s">
        <v>39</v>
      </c>
      <c r="R8" s="51" t="s">
        <v>40</v>
      </c>
      <c r="S8" s="51" t="s">
        <v>39</v>
      </c>
      <c r="T8" s="51" t="s">
        <v>39</v>
      </c>
      <c r="U8" s="51" t="s">
        <v>39</v>
      </c>
      <c r="V8" s="51" t="str">
        <f t="shared" si="2"/>
        <v>Wo</v>
      </c>
      <c r="W8" s="51" t="s">
        <v>38</v>
      </c>
      <c r="X8" s="51" t="s">
        <v>39</v>
      </c>
      <c r="Y8" s="51" t="s">
        <v>38</v>
      </c>
      <c r="Z8" s="51" t="s">
        <v>40</v>
      </c>
      <c r="AA8" s="51" t="s">
        <v>38</v>
      </c>
      <c r="AB8" s="51" t="s">
        <v>38</v>
      </c>
      <c r="AC8" s="51" t="str">
        <f t="shared" si="2"/>
        <v>Wo</v>
      </c>
      <c r="AD8" s="65" t="s">
        <v>38</v>
      </c>
      <c r="AE8" s="65" t="s">
        <v>38</v>
      </c>
      <c r="AF8" s="65" t="s">
        <v>40</v>
      </c>
      <c r="AG8" s="65" t="s">
        <v>38</v>
      </c>
      <c r="AH8" s="65" t="s">
        <v>38</v>
      </c>
      <c r="AI8" s="65" t="s">
        <v>38</v>
      </c>
      <c r="AJ8" s="65" t="str">
        <f t="shared" si="2"/>
        <v>Wo</v>
      </c>
      <c r="AK8" s="65" t="s">
        <v>38</v>
      </c>
      <c r="AL8" s="65" t="s">
        <v>38</v>
      </c>
      <c r="AM8" s="65" t="s">
        <v>38</v>
      </c>
      <c r="AN8" s="65" t="s">
        <v>40</v>
      </c>
      <c r="AO8" s="16" t="s">
        <v>38</v>
      </c>
      <c r="AP8" s="77"/>
      <c r="AQ8" s="13"/>
      <c r="AR8" s="135">
        <v>1</v>
      </c>
      <c r="AS8" s="106">
        <v>1001</v>
      </c>
      <c r="AT8" s="106" t="str">
        <f t="shared" ref="AT8:AT27" si="3">$L$4</f>
        <v>July</v>
      </c>
      <c r="AU8" s="106" t="s">
        <v>1</v>
      </c>
      <c r="AV8" s="109">
        <f t="shared" ref="AV8:AV27" si="4">COUNTIF($K8:$AO8,"*P*")</f>
        <v>17</v>
      </c>
      <c r="AW8" s="109">
        <f t="shared" ref="AW8:AW27" si="5">COUNTIF($K8:$AO8,"*A*")</f>
        <v>6</v>
      </c>
      <c r="AX8" s="109">
        <f t="shared" ref="AX8:AX27" si="6">COUNTIF($K8:$AO8,"*L*")</f>
        <v>4</v>
      </c>
      <c r="AY8" s="109">
        <f>$J$8</f>
        <v>4</v>
      </c>
      <c r="AZ8" s="112">
        <f>$K$4</f>
        <v>31</v>
      </c>
      <c r="BA8" s="112">
        <f>(AZ8-AW8)</f>
        <v>25</v>
      </c>
      <c r="BB8" s="115">
        <v>15000</v>
      </c>
      <c r="BC8" s="118">
        <f>JulyReport[[#This Row],[SALARY]]/JulyReport[[#This Row],[PAID DAYS]]</f>
        <v>600</v>
      </c>
      <c r="BD8" s="118">
        <f>JulyReport[[#This Row],[SALARY]]-JulyReport[[#This Row],[ DEDUCTION]]</f>
        <v>14400</v>
      </c>
      <c r="BE8" s="124"/>
      <c r="BF8" s="14"/>
      <c r="BG8" s="76"/>
      <c r="BH8" s="4"/>
      <c r="BI8" s="4"/>
      <c r="BJ8" s="4"/>
      <c r="BK8" s="4"/>
      <c r="BL8" s="4"/>
      <c r="BM8" s="4"/>
    </row>
    <row r="9" spans="4:65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7">COUNTIF($K$6:$AO$6,"sun")</f>
        <v>4</v>
      </c>
      <c r="K9" s="51" t="s">
        <v>39</v>
      </c>
      <c r="L9" s="51" t="s">
        <v>38</v>
      </c>
      <c r="M9" s="51" t="s">
        <v>39</v>
      </c>
      <c r="N9" s="51" t="s">
        <v>38</v>
      </c>
      <c r="O9" s="51" t="str">
        <f t="shared" si="2"/>
        <v>Wo</v>
      </c>
      <c r="P9" s="51" t="s">
        <v>38</v>
      </c>
      <c r="Q9" s="51" t="s">
        <v>38</v>
      </c>
      <c r="R9" s="51" t="s">
        <v>40</v>
      </c>
      <c r="S9" s="51" t="s">
        <v>38</v>
      </c>
      <c r="T9" s="51" t="s">
        <v>38</v>
      </c>
      <c r="U9" s="51" t="s">
        <v>38</v>
      </c>
      <c r="V9" s="51" t="str">
        <f t="shared" si="2"/>
        <v>Wo</v>
      </c>
      <c r="W9" s="51" t="s">
        <v>38</v>
      </c>
      <c r="X9" s="51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51" t="str">
        <f t="shared" si="2"/>
        <v>Wo</v>
      </c>
      <c r="AD9" s="65" t="s">
        <v>38</v>
      </c>
      <c r="AE9" s="65" t="s">
        <v>38</v>
      </c>
      <c r="AF9" s="65" t="s">
        <v>40</v>
      </c>
      <c r="AG9" s="65" t="s">
        <v>38</v>
      </c>
      <c r="AH9" s="65" t="s">
        <v>38</v>
      </c>
      <c r="AI9" s="65" t="s">
        <v>38</v>
      </c>
      <c r="AJ9" s="65" t="str">
        <f t="shared" si="2"/>
        <v>Wo</v>
      </c>
      <c r="AK9" s="65" t="s">
        <v>38</v>
      </c>
      <c r="AL9" s="65" t="s">
        <v>38</v>
      </c>
      <c r="AM9" s="65" t="s">
        <v>38</v>
      </c>
      <c r="AN9" s="65" t="s">
        <v>40</v>
      </c>
      <c r="AO9" s="16" t="s">
        <v>38</v>
      </c>
      <c r="AP9" s="77"/>
      <c r="AQ9" s="13"/>
      <c r="AR9" s="7">
        <v>2</v>
      </c>
      <c r="AS9" s="107">
        <v>1002</v>
      </c>
      <c r="AT9" s="107" t="str">
        <f t="shared" si="3"/>
        <v>July</v>
      </c>
      <c r="AU9" s="107" t="s">
        <v>2</v>
      </c>
      <c r="AV9" s="110">
        <f t="shared" si="4"/>
        <v>21</v>
      </c>
      <c r="AW9" s="110">
        <f t="shared" si="5"/>
        <v>2</v>
      </c>
      <c r="AX9" s="110">
        <f t="shared" si="6"/>
        <v>4</v>
      </c>
      <c r="AY9" s="110">
        <f t="shared" ref="AY9:AY27" si="8">$J$8</f>
        <v>4</v>
      </c>
      <c r="AZ9" s="113">
        <f t="shared" ref="AZ9:AZ27" si="9">$K$4</f>
        <v>31</v>
      </c>
      <c r="BA9" s="113">
        <f t="shared" ref="BA9:BA27" si="10">(AZ9-AW9)</f>
        <v>29</v>
      </c>
      <c r="BB9" s="116">
        <v>16000</v>
      </c>
      <c r="BC9" s="119">
        <f>JulyReport[[#This Row],[SALARY]]/JulyReport[[#This Row],[PAID DAYS]]</f>
        <v>551.72413793103453</v>
      </c>
      <c r="BD9" s="119">
        <f>JulyReport[[#This Row],[SALARY]]-JulyReport[[#This Row],[ DEDUCTION]]</f>
        <v>15448.275862068966</v>
      </c>
      <c r="BE9" s="121"/>
      <c r="BF9" s="14"/>
      <c r="BG9" s="76"/>
      <c r="BH9" s="4"/>
      <c r="BI9" s="4"/>
      <c r="BJ9" s="4"/>
      <c r="BK9" s="4"/>
      <c r="BL9" s="4"/>
      <c r="BM9" s="4"/>
    </row>
    <row r="10" spans="4:65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7"/>
        <v>4</v>
      </c>
      <c r="K10" s="51" t="s">
        <v>38</v>
      </c>
      <c r="L10" s="51" t="s">
        <v>38</v>
      </c>
      <c r="M10" s="51" t="s">
        <v>38</v>
      </c>
      <c r="N10" s="51" t="s">
        <v>38</v>
      </c>
      <c r="O10" s="51" t="str">
        <f t="shared" si="2"/>
        <v>Wo</v>
      </c>
      <c r="P10" s="51" t="s">
        <v>38</v>
      </c>
      <c r="Q10" s="51" t="s">
        <v>38</v>
      </c>
      <c r="R10" s="51" t="s">
        <v>40</v>
      </c>
      <c r="S10" s="51" t="s">
        <v>38</v>
      </c>
      <c r="T10" s="51" t="s">
        <v>38</v>
      </c>
      <c r="U10" s="51" t="s">
        <v>38</v>
      </c>
      <c r="V10" s="51" t="str">
        <f t="shared" si="2"/>
        <v>Wo</v>
      </c>
      <c r="W10" s="51" t="s">
        <v>38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51" t="str">
        <f t="shared" si="2"/>
        <v>Wo</v>
      </c>
      <c r="AD10" s="65" t="s">
        <v>38</v>
      </c>
      <c r="AE10" s="65" t="s">
        <v>38</v>
      </c>
      <c r="AF10" s="65" t="s">
        <v>40</v>
      </c>
      <c r="AG10" s="65" t="s">
        <v>38</v>
      </c>
      <c r="AH10" s="65" t="s">
        <v>38</v>
      </c>
      <c r="AI10" s="65" t="s">
        <v>38</v>
      </c>
      <c r="AJ10" s="65" t="str">
        <f t="shared" si="2"/>
        <v>Wo</v>
      </c>
      <c r="AK10" s="65" t="s">
        <v>38</v>
      </c>
      <c r="AL10" s="65" t="s">
        <v>38</v>
      </c>
      <c r="AM10" s="65" t="s">
        <v>38</v>
      </c>
      <c r="AN10" s="65" t="s">
        <v>40</v>
      </c>
      <c r="AO10" s="16" t="s">
        <v>38</v>
      </c>
      <c r="AP10" s="77"/>
      <c r="AQ10" s="13"/>
      <c r="AR10" s="7">
        <v>3</v>
      </c>
      <c r="AS10" s="107">
        <v>1003</v>
      </c>
      <c r="AT10" s="107" t="str">
        <f t="shared" si="3"/>
        <v>July</v>
      </c>
      <c r="AU10" s="107" t="s">
        <v>3</v>
      </c>
      <c r="AV10" s="110">
        <f t="shared" si="4"/>
        <v>23</v>
      </c>
      <c r="AW10" s="110">
        <f t="shared" si="5"/>
        <v>0</v>
      </c>
      <c r="AX10" s="110">
        <f t="shared" si="6"/>
        <v>4</v>
      </c>
      <c r="AY10" s="110">
        <f t="shared" si="8"/>
        <v>4</v>
      </c>
      <c r="AZ10" s="113">
        <f t="shared" si="9"/>
        <v>31</v>
      </c>
      <c r="BA10" s="113">
        <f t="shared" si="10"/>
        <v>31</v>
      </c>
      <c r="BB10" s="116">
        <v>18000</v>
      </c>
      <c r="BC10" s="119">
        <f>JulyReport[[#This Row],[SALARY]]/JulyReport[[#This Row],[PAID DAYS]]</f>
        <v>580.64516129032256</v>
      </c>
      <c r="BD10" s="119">
        <f>JulyReport[[#This Row],[SALARY]]-JulyReport[[#This Row],[ DEDUCTION]]</f>
        <v>17419.354838709678</v>
      </c>
      <c r="BE10" s="121"/>
      <c r="BF10" s="14"/>
      <c r="BG10" s="76"/>
      <c r="BH10" s="4"/>
      <c r="BI10" s="4"/>
      <c r="BJ10" s="4"/>
      <c r="BK10" s="4"/>
      <c r="BL10" s="4"/>
      <c r="BM10" s="4"/>
    </row>
    <row r="11" spans="4:65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7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2"/>
        <v>Wo</v>
      </c>
      <c r="P11" s="51" t="s">
        <v>38</v>
      </c>
      <c r="Q11" s="51" t="s">
        <v>38</v>
      </c>
      <c r="R11" s="51" t="s">
        <v>40</v>
      </c>
      <c r="S11" s="51" t="s">
        <v>38</v>
      </c>
      <c r="T11" s="51" t="s">
        <v>38</v>
      </c>
      <c r="U11" s="51" t="s">
        <v>38</v>
      </c>
      <c r="V11" s="51" t="str">
        <f t="shared" si="2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38</v>
      </c>
      <c r="AB11" s="51" t="s">
        <v>38</v>
      </c>
      <c r="AC11" s="51" t="str">
        <f t="shared" si="2"/>
        <v>Wo</v>
      </c>
      <c r="AD11" s="65" t="s">
        <v>38</v>
      </c>
      <c r="AE11" s="65" t="s">
        <v>38</v>
      </c>
      <c r="AF11" s="65" t="s">
        <v>40</v>
      </c>
      <c r="AG11" s="65" t="s">
        <v>38</v>
      </c>
      <c r="AH11" s="65" t="s">
        <v>38</v>
      </c>
      <c r="AI11" s="65" t="s">
        <v>38</v>
      </c>
      <c r="AJ11" s="65" t="str">
        <f t="shared" si="2"/>
        <v>Wo</v>
      </c>
      <c r="AK11" s="65" t="s">
        <v>38</v>
      </c>
      <c r="AL11" s="65" t="s">
        <v>38</v>
      </c>
      <c r="AM11" s="65" t="s">
        <v>38</v>
      </c>
      <c r="AN11" s="65" t="s">
        <v>40</v>
      </c>
      <c r="AO11" s="16" t="s">
        <v>38</v>
      </c>
      <c r="AP11" s="77"/>
      <c r="AQ11" s="13"/>
      <c r="AR11" s="7">
        <v>4</v>
      </c>
      <c r="AS11" s="107">
        <v>1004</v>
      </c>
      <c r="AT11" s="107" t="str">
        <f t="shared" si="3"/>
        <v>July</v>
      </c>
      <c r="AU11" s="107" t="s">
        <v>4</v>
      </c>
      <c r="AV11" s="110">
        <f t="shared" si="4"/>
        <v>23</v>
      </c>
      <c r="AW11" s="110">
        <f t="shared" si="5"/>
        <v>0</v>
      </c>
      <c r="AX11" s="110">
        <f t="shared" si="6"/>
        <v>4</v>
      </c>
      <c r="AY11" s="110">
        <f t="shared" si="8"/>
        <v>4</v>
      </c>
      <c r="AZ11" s="113">
        <f t="shared" si="9"/>
        <v>31</v>
      </c>
      <c r="BA11" s="113">
        <f t="shared" si="10"/>
        <v>31</v>
      </c>
      <c r="BB11" s="116">
        <v>21000</v>
      </c>
      <c r="BC11" s="119">
        <f>JulyReport[[#This Row],[SALARY]]/JulyReport[[#This Row],[PAID DAYS]]</f>
        <v>677.41935483870964</v>
      </c>
      <c r="BD11" s="119">
        <f>JulyReport[[#This Row],[SALARY]]-JulyReport[[#This Row],[ DEDUCTION]]</f>
        <v>20322.580645161292</v>
      </c>
      <c r="BE11" s="121"/>
      <c r="BF11" s="14"/>
      <c r="BG11" s="76"/>
      <c r="BH11" s="4"/>
      <c r="BI11" s="4"/>
      <c r="BJ11" s="4"/>
      <c r="BK11" s="4"/>
      <c r="BL11" s="4"/>
      <c r="BM11" s="4"/>
    </row>
    <row r="12" spans="4:65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7"/>
        <v>4</v>
      </c>
      <c r="K12" s="51" t="s">
        <v>38</v>
      </c>
      <c r="L12" s="51" t="s">
        <v>38</v>
      </c>
      <c r="M12" s="51" t="s">
        <v>39</v>
      </c>
      <c r="N12" s="51" t="s">
        <v>38</v>
      </c>
      <c r="O12" s="51" t="str">
        <f t="shared" si="2"/>
        <v>Wo</v>
      </c>
      <c r="P12" s="51" t="s">
        <v>38</v>
      </c>
      <c r="Q12" s="51" t="s">
        <v>39</v>
      </c>
      <c r="R12" s="51" t="s">
        <v>40</v>
      </c>
      <c r="S12" s="51" t="s">
        <v>38</v>
      </c>
      <c r="T12" s="51" t="s">
        <v>38</v>
      </c>
      <c r="U12" s="51" t="s">
        <v>38</v>
      </c>
      <c r="V12" s="51" t="str">
        <f t="shared" si="2"/>
        <v>Wo</v>
      </c>
      <c r="W12" s="51" t="s">
        <v>38</v>
      </c>
      <c r="X12" s="51" t="s">
        <v>39</v>
      </c>
      <c r="Y12" s="51" t="s">
        <v>38</v>
      </c>
      <c r="Z12" s="51" t="s">
        <v>40</v>
      </c>
      <c r="AA12" s="51" t="s">
        <v>38</v>
      </c>
      <c r="AB12" s="51" t="s">
        <v>38</v>
      </c>
      <c r="AC12" s="51" t="str">
        <f t="shared" si="2"/>
        <v>Wo</v>
      </c>
      <c r="AD12" s="65" t="s">
        <v>38</v>
      </c>
      <c r="AE12" s="65" t="s">
        <v>38</v>
      </c>
      <c r="AF12" s="65" t="s">
        <v>40</v>
      </c>
      <c r="AG12" s="65" t="s">
        <v>38</v>
      </c>
      <c r="AH12" s="65" t="s">
        <v>38</v>
      </c>
      <c r="AI12" s="65" t="s">
        <v>38</v>
      </c>
      <c r="AJ12" s="65" t="str">
        <f t="shared" si="2"/>
        <v>Wo</v>
      </c>
      <c r="AK12" s="65" t="s">
        <v>38</v>
      </c>
      <c r="AL12" s="65" t="s">
        <v>38</v>
      </c>
      <c r="AM12" s="65" t="s">
        <v>38</v>
      </c>
      <c r="AN12" s="65" t="s">
        <v>40</v>
      </c>
      <c r="AO12" s="16" t="s">
        <v>38</v>
      </c>
      <c r="AP12" s="77"/>
      <c r="AQ12" s="13"/>
      <c r="AR12" s="7">
        <v>5</v>
      </c>
      <c r="AS12" s="107">
        <v>1005</v>
      </c>
      <c r="AT12" s="107" t="str">
        <f t="shared" si="3"/>
        <v>July</v>
      </c>
      <c r="AU12" s="107" t="s">
        <v>5</v>
      </c>
      <c r="AV12" s="110">
        <f t="shared" si="4"/>
        <v>20</v>
      </c>
      <c r="AW12" s="110">
        <f t="shared" si="5"/>
        <v>3</v>
      </c>
      <c r="AX12" s="110">
        <f t="shared" si="6"/>
        <v>4</v>
      </c>
      <c r="AY12" s="110">
        <f t="shared" si="8"/>
        <v>4</v>
      </c>
      <c r="AZ12" s="113">
        <f t="shared" si="9"/>
        <v>31</v>
      </c>
      <c r="BA12" s="113">
        <f t="shared" si="10"/>
        <v>28</v>
      </c>
      <c r="BB12" s="116">
        <v>30000</v>
      </c>
      <c r="BC12" s="119">
        <f>JulyReport[[#This Row],[SALARY]]/JulyReport[[#This Row],[PAID DAYS]]</f>
        <v>1071.4285714285713</v>
      </c>
      <c r="BD12" s="119">
        <f>JulyReport[[#This Row],[SALARY]]-JulyReport[[#This Row],[ DEDUCTION]]</f>
        <v>28928.571428571428</v>
      </c>
      <c r="BE12" s="121"/>
      <c r="BF12" s="14"/>
      <c r="BG12" s="76"/>
      <c r="BH12" s="4"/>
      <c r="BI12" s="4"/>
      <c r="BJ12" s="4"/>
      <c r="BK12" s="4"/>
      <c r="BL12" s="4"/>
      <c r="BM12" s="4"/>
    </row>
    <row r="13" spans="4:65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7"/>
        <v>4</v>
      </c>
      <c r="K13" s="51" t="s">
        <v>38</v>
      </c>
      <c r="L13" s="51" t="s">
        <v>38</v>
      </c>
      <c r="M13" s="51" t="s">
        <v>38</v>
      </c>
      <c r="N13" s="51" t="s">
        <v>38</v>
      </c>
      <c r="O13" s="51" t="str">
        <f t="shared" si="2"/>
        <v>Wo</v>
      </c>
      <c r="P13" s="51" t="s">
        <v>38</v>
      </c>
      <c r="Q13" s="51" t="s">
        <v>38</v>
      </c>
      <c r="R13" s="51" t="s">
        <v>40</v>
      </c>
      <c r="S13" s="51" t="s">
        <v>38</v>
      </c>
      <c r="T13" s="51" t="s">
        <v>38</v>
      </c>
      <c r="U13" s="51" t="s">
        <v>38</v>
      </c>
      <c r="V13" s="51" t="str">
        <f t="shared" si="2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38</v>
      </c>
      <c r="AC13" s="51" t="str">
        <f t="shared" si="2"/>
        <v>Wo</v>
      </c>
      <c r="AD13" s="65" t="s">
        <v>38</v>
      </c>
      <c r="AE13" s="65" t="s">
        <v>38</v>
      </c>
      <c r="AF13" s="65" t="s">
        <v>40</v>
      </c>
      <c r="AG13" s="65" t="s">
        <v>38</v>
      </c>
      <c r="AH13" s="65" t="s">
        <v>38</v>
      </c>
      <c r="AI13" s="65" t="s">
        <v>38</v>
      </c>
      <c r="AJ13" s="65" t="str">
        <f t="shared" si="2"/>
        <v>Wo</v>
      </c>
      <c r="AK13" s="65" t="s">
        <v>38</v>
      </c>
      <c r="AL13" s="65" t="s">
        <v>38</v>
      </c>
      <c r="AM13" s="65" t="s">
        <v>38</v>
      </c>
      <c r="AN13" s="65" t="s">
        <v>40</v>
      </c>
      <c r="AO13" s="16" t="s">
        <v>38</v>
      </c>
      <c r="AP13" s="77"/>
      <c r="AQ13" s="13"/>
      <c r="AR13" s="7">
        <v>6</v>
      </c>
      <c r="AS13" s="107">
        <v>1006</v>
      </c>
      <c r="AT13" s="107" t="str">
        <f t="shared" si="3"/>
        <v>July</v>
      </c>
      <c r="AU13" s="107" t="s">
        <v>6</v>
      </c>
      <c r="AV13" s="110">
        <f t="shared" si="4"/>
        <v>23</v>
      </c>
      <c r="AW13" s="110">
        <f t="shared" si="5"/>
        <v>0</v>
      </c>
      <c r="AX13" s="110">
        <f t="shared" si="6"/>
        <v>4</v>
      </c>
      <c r="AY13" s="110">
        <f t="shared" si="8"/>
        <v>4</v>
      </c>
      <c r="AZ13" s="113">
        <f t="shared" si="9"/>
        <v>31</v>
      </c>
      <c r="BA13" s="113">
        <f t="shared" si="10"/>
        <v>31</v>
      </c>
      <c r="BB13" s="116">
        <v>25000</v>
      </c>
      <c r="BC13" s="119">
        <f>JulyReport[[#This Row],[SALARY]]/JulyReport[[#This Row],[PAID DAYS]]</f>
        <v>806.45161290322585</v>
      </c>
      <c r="BD13" s="119">
        <f>JulyReport[[#This Row],[SALARY]]-JulyReport[[#This Row],[ DEDUCTION]]</f>
        <v>24193.548387096773</v>
      </c>
      <c r="BE13" s="121"/>
      <c r="BF13" s="14"/>
      <c r="BG13" s="76"/>
      <c r="BH13" s="4"/>
      <c r="BI13" s="4"/>
      <c r="BJ13" s="4"/>
      <c r="BK13" s="4"/>
      <c r="BL13" s="4"/>
      <c r="BM13" s="4"/>
    </row>
    <row r="14" spans="4:65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7"/>
        <v>4</v>
      </c>
      <c r="K14" s="51" t="s">
        <v>39</v>
      </c>
      <c r="L14" s="51" t="s">
        <v>38</v>
      </c>
      <c r="M14" s="51" t="s">
        <v>38</v>
      </c>
      <c r="N14" s="51" t="s">
        <v>38</v>
      </c>
      <c r="O14" s="51" t="str">
        <f t="shared" si="2"/>
        <v>Wo</v>
      </c>
      <c r="P14" s="51" t="s">
        <v>39</v>
      </c>
      <c r="Q14" s="51" t="s">
        <v>38</v>
      </c>
      <c r="R14" s="51" t="s">
        <v>40</v>
      </c>
      <c r="S14" s="51" t="s">
        <v>38</v>
      </c>
      <c r="T14" s="51" t="s">
        <v>38</v>
      </c>
      <c r="U14" s="51" t="s">
        <v>38</v>
      </c>
      <c r="V14" s="51" t="str">
        <f t="shared" si="2"/>
        <v>Wo</v>
      </c>
      <c r="W14" s="51" t="s">
        <v>38</v>
      </c>
      <c r="X14" s="51" t="s">
        <v>38</v>
      </c>
      <c r="Y14" s="51" t="s">
        <v>38</v>
      </c>
      <c r="Z14" s="51" t="s">
        <v>40</v>
      </c>
      <c r="AA14" s="51" t="s">
        <v>38</v>
      </c>
      <c r="AB14" s="51" t="s">
        <v>38</v>
      </c>
      <c r="AC14" s="51" t="str">
        <f t="shared" si="2"/>
        <v>Wo</v>
      </c>
      <c r="AD14" s="65" t="s">
        <v>38</v>
      </c>
      <c r="AE14" s="65" t="s">
        <v>38</v>
      </c>
      <c r="AF14" s="65" t="s">
        <v>40</v>
      </c>
      <c r="AG14" s="65" t="s">
        <v>38</v>
      </c>
      <c r="AH14" s="65" t="s">
        <v>38</v>
      </c>
      <c r="AI14" s="65" t="s">
        <v>38</v>
      </c>
      <c r="AJ14" s="65" t="str">
        <f t="shared" si="2"/>
        <v>Wo</v>
      </c>
      <c r="AK14" s="65" t="s">
        <v>38</v>
      </c>
      <c r="AL14" s="65" t="s">
        <v>38</v>
      </c>
      <c r="AM14" s="65" t="s">
        <v>38</v>
      </c>
      <c r="AN14" s="65" t="s">
        <v>40</v>
      </c>
      <c r="AO14" s="16" t="s">
        <v>38</v>
      </c>
      <c r="AP14" s="77"/>
      <c r="AQ14" s="13"/>
      <c r="AR14" s="7">
        <v>7</v>
      </c>
      <c r="AS14" s="107">
        <v>1007</v>
      </c>
      <c r="AT14" s="107" t="str">
        <f t="shared" si="3"/>
        <v>July</v>
      </c>
      <c r="AU14" s="107" t="s">
        <v>7</v>
      </c>
      <c r="AV14" s="110">
        <f t="shared" si="4"/>
        <v>21</v>
      </c>
      <c r="AW14" s="110">
        <f t="shared" si="5"/>
        <v>2</v>
      </c>
      <c r="AX14" s="110">
        <f t="shared" si="6"/>
        <v>4</v>
      </c>
      <c r="AY14" s="110">
        <f t="shared" si="8"/>
        <v>4</v>
      </c>
      <c r="AZ14" s="113">
        <f t="shared" si="9"/>
        <v>31</v>
      </c>
      <c r="BA14" s="113">
        <f t="shared" si="10"/>
        <v>29</v>
      </c>
      <c r="BB14" s="116">
        <v>30000</v>
      </c>
      <c r="BC14" s="119">
        <f>JulyReport[[#This Row],[SALARY]]/JulyReport[[#This Row],[PAID DAYS]]</f>
        <v>1034.4827586206898</v>
      </c>
      <c r="BD14" s="119">
        <f>JulyReport[[#This Row],[SALARY]]-JulyReport[[#This Row],[ DEDUCTION]]</f>
        <v>28965.517241379312</v>
      </c>
      <c r="BE14" s="121"/>
      <c r="BF14" s="14"/>
      <c r="BG14" s="76"/>
      <c r="BH14" s="4"/>
      <c r="BI14" s="4"/>
      <c r="BJ14" s="4"/>
      <c r="BK14" s="4"/>
      <c r="BL14" s="4"/>
      <c r="BM14" s="4"/>
    </row>
    <row r="15" spans="4:65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7"/>
        <v>4</v>
      </c>
      <c r="K15" s="51" t="s">
        <v>38</v>
      </c>
      <c r="L15" s="51" t="s">
        <v>38</v>
      </c>
      <c r="M15" s="51" t="s">
        <v>38</v>
      </c>
      <c r="N15" s="51" t="s">
        <v>38</v>
      </c>
      <c r="O15" s="51" t="str">
        <f t="shared" si="2"/>
        <v>Wo</v>
      </c>
      <c r="P15" s="51" t="s">
        <v>38</v>
      </c>
      <c r="Q15" s="51" t="s">
        <v>38</v>
      </c>
      <c r="R15" s="51" t="s">
        <v>40</v>
      </c>
      <c r="S15" s="51" t="s">
        <v>38</v>
      </c>
      <c r="T15" s="51" t="s">
        <v>38</v>
      </c>
      <c r="U15" s="51" t="s">
        <v>38</v>
      </c>
      <c r="V15" s="51" t="str">
        <f t="shared" si="2"/>
        <v>Wo</v>
      </c>
      <c r="W15" s="51" t="s">
        <v>38</v>
      </c>
      <c r="X15" s="51" t="s">
        <v>38</v>
      </c>
      <c r="Y15" s="51" t="s">
        <v>38</v>
      </c>
      <c r="Z15" s="51" t="s">
        <v>40</v>
      </c>
      <c r="AA15" s="51" t="s">
        <v>38</v>
      </c>
      <c r="AB15" s="51" t="s">
        <v>38</v>
      </c>
      <c r="AC15" s="51" t="str">
        <f t="shared" si="2"/>
        <v>Wo</v>
      </c>
      <c r="AD15" s="65" t="s">
        <v>38</v>
      </c>
      <c r="AE15" s="65" t="s">
        <v>38</v>
      </c>
      <c r="AF15" s="65" t="s">
        <v>40</v>
      </c>
      <c r="AG15" s="65" t="s">
        <v>38</v>
      </c>
      <c r="AH15" s="65" t="s">
        <v>38</v>
      </c>
      <c r="AI15" s="65" t="s">
        <v>38</v>
      </c>
      <c r="AJ15" s="65" t="str">
        <f t="shared" si="2"/>
        <v>Wo</v>
      </c>
      <c r="AK15" s="65" t="s">
        <v>38</v>
      </c>
      <c r="AL15" s="65" t="s">
        <v>38</v>
      </c>
      <c r="AM15" s="65" t="s">
        <v>38</v>
      </c>
      <c r="AN15" s="65" t="s">
        <v>40</v>
      </c>
      <c r="AO15" s="16" t="s">
        <v>38</v>
      </c>
      <c r="AP15" s="77"/>
      <c r="AQ15" s="13"/>
      <c r="AR15" s="7">
        <v>8</v>
      </c>
      <c r="AS15" s="107">
        <v>1008</v>
      </c>
      <c r="AT15" s="107" t="str">
        <f t="shared" si="3"/>
        <v>July</v>
      </c>
      <c r="AU15" s="107" t="s">
        <v>8</v>
      </c>
      <c r="AV15" s="110">
        <f t="shared" si="4"/>
        <v>23</v>
      </c>
      <c r="AW15" s="110">
        <f t="shared" si="5"/>
        <v>0</v>
      </c>
      <c r="AX15" s="110">
        <f t="shared" si="6"/>
        <v>4</v>
      </c>
      <c r="AY15" s="110">
        <f t="shared" si="8"/>
        <v>4</v>
      </c>
      <c r="AZ15" s="113">
        <f t="shared" si="9"/>
        <v>31</v>
      </c>
      <c r="BA15" s="113">
        <f t="shared" si="10"/>
        <v>31</v>
      </c>
      <c r="BB15" s="116">
        <v>35000</v>
      </c>
      <c r="BC15" s="119">
        <f>JulyReport[[#This Row],[SALARY]]/JulyReport[[#This Row],[PAID DAYS]]</f>
        <v>1129.0322580645161</v>
      </c>
      <c r="BD15" s="119">
        <f>JulyReport[[#This Row],[SALARY]]-JulyReport[[#This Row],[ DEDUCTION]]</f>
        <v>33870.967741935485</v>
      </c>
      <c r="BE15" s="121"/>
      <c r="BF15" s="14"/>
      <c r="BG15" s="76"/>
      <c r="BH15" s="4"/>
      <c r="BI15" s="4"/>
      <c r="BJ15" s="4"/>
      <c r="BK15" s="4"/>
      <c r="BL15" s="4"/>
      <c r="BM15" s="4"/>
    </row>
    <row r="16" spans="4:65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7"/>
        <v>4</v>
      </c>
      <c r="K16" s="51" t="s">
        <v>38</v>
      </c>
      <c r="L16" s="51" t="s">
        <v>38</v>
      </c>
      <c r="M16" s="51" t="s">
        <v>38</v>
      </c>
      <c r="N16" s="51" t="s">
        <v>38</v>
      </c>
      <c r="O16" s="51" t="str">
        <f t="shared" si="2"/>
        <v>Wo</v>
      </c>
      <c r="P16" s="51" t="s">
        <v>38</v>
      </c>
      <c r="Q16" s="51" t="s">
        <v>39</v>
      </c>
      <c r="R16" s="51" t="s">
        <v>40</v>
      </c>
      <c r="S16" s="51" t="s">
        <v>39</v>
      </c>
      <c r="T16" s="51" t="s">
        <v>39</v>
      </c>
      <c r="U16" s="51" t="s">
        <v>39</v>
      </c>
      <c r="V16" s="51" t="str">
        <f t="shared" si="2"/>
        <v>Wo</v>
      </c>
      <c r="W16" s="51" t="s">
        <v>38</v>
      </c>
      <c r="X16" s="51" t="s">
        <v>38</v>
      </c>
      <c r="Y16" s="51" t="s">
        <v>38</v>
      </c>
      <c r="Z16" s="51" t="s">
        <v>40</v>
      </c>
      <c r="AA16" s="51" t="s">
        <v>38</v>
      </c>
      <c r="AB16" s="51" t="s">
        <v>38</v>
      </c>
      <c r="AC16" s="51" t="str">
        <f t="shared" si="2"/>
        <v>Wo</v>
      </c>
      <c r="AD16" s="65" t="s">
        <v>38</v>
      </c>
      <c r="AE16" s="65" t="s">
        <v>38</v>
      </c>
      <c r="AF16" s="65" t="s">
        <v>40</v>
      </c>
      <c r="AG16" s="65" t="s">
        <v>38</v>
      </c>
      <c r="AH16" s="65" t="s">
        <v>38</v>
      </c>
      <c r="AI16" s="65" t="s">
        <v>38</v>
      </c>
      <c r="AJ16" s="65" t="str">
        <f t="shared" si="2"/>
        <v>Wo</v>
      </c>
      <c r="AK16" s="65" t="s">
        <v>38</v>
      </c>
      <c r="AL16" s="65" t="s">
        <v>38</v>
      </c>
      <c r="AM16" s="65" t="s">
        <v>38</v>
      </c>
      <c r="AN16" s="65" t="s">
        <v>40</v>
      </c>
      <c r="AO16" s="16" t="s">
        <v>38</v>
      </c>
      <c r="AP16" s="77"/>
      <c r="AQ16" s="13"/>
      <c r="AR16" s="7">
        <v>9</v>
      </c>
      <c r="AS16" s="107">
        <v>1009</v>
      </c>
      <c r="AT16" s="107" t="str">
        <f t="shared" si="3"/>
        <v>July</v>
      </c>
      <c r="AU16" s="107" t="s">
        <v>9</v>
      </c>
      <c r="AV16" s="110">
        <f t="shared" si="4"/>
        <v>19</v>
      </c>
      <c r="AW16" s="110">
        <f t="shared" si="5"/>
        <v>4</v>
      </c>
      <c r="AX16" s="110">
        <f t="shared" si="6"/>
        <v>4</v>
      </c>
      <c r="AY16" s="110">
        <f t="shared" si="8"/>
        <v>4</v>
      </c>
      <c r="AZ16" s="113">
        <f t="shared" si="9"/>
        <v>31</v>
      </c>
      <c r="BA16" s="113">
        <f t="shared" si="10"/>
        <v>27</v>
      </c>
      <c r="BB16" s="116">
        <v>18000</v>
      </c>
      <c r="BC16" s="119">
        <f>JulyReport[[#This Row],[SALARY]]/JulyReport[[#This Row],[PAID DAYS]]</f>
        <v>666.66666666666663</v>
      </c>
      <c r="BD16" s="119">
        <f>JulyReport[[#This Row],[SALARY]]-JulyReport[[#This Row],[ DEDUCTION]]</f>
        <v>17333.333333333332</v>
      </c>
      <c r="BE16" s="121"/>
      <c r="BF16" s="14"/>
      <c r="BG16" s="76"/>
      <c r="BH16" s="4"/>
      <c r="BI16" s="4"/>
      <c r="BJ16" s="4"/>
      <c r="BK16" s="4"/>
      <c r="BL16" s="4"/>
      <c r="BM16" s="4"/>
    </row>
    <row r="17" spans="4:65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7"/>
        <v>4</v>
      </c>
      <c r="K17" s="51" t="s">
        <v>39</v>
      </c>
      <c r="L17" s="51" t="s">
        <v>38</v>
      </c>
      <c r="M17" s="51" t="s">
        <v>39</v>
      </c>
      <c r="N17" s="51" t="s">
        <v>39</v>
      </c>
      <c r="O17" s="51" t="str">
        <f t="shared" si="2"/>
        <v>Wo</v>
      </c>
      <c r="P17" s="51" t="s">
        <v>38</v>
      </c>
      <c r="Q17" s="51" t="s">
        <v>38</v>
      </c>
      <c r="R17" s="51" t="s">
        <v>40</v>
      </c>
      <c r="S17" s="51" t="s">
        <v>38</v>
      </c>
      <c r="T17" s="51" t="s">
        <v>38</v>
      </c>
      <c r="U17" s="51" t="s">
        <v>38</v>
      </c>
      <c r="V17" s="51" t="str">
        <f t="shared" si="2"/>
        <v>Wo</v>
      </c>
      <c r="W17" s="51" t="s">
        <v>38</v>
      </c>
      <c r="X17" s="51" t="s">
        <v>39</v>
      </c>
      <c r="Y17" s="51" t="s">
        <v>38</v>
      </c>
      <c r="Z17" s="51" t="s">
        <v>40</v>
      </c>
      <c r="AA17" s="51" t="s">
        <v>38</v>
      </c>
      <c r="AB17" s="51" t="s">
        <v>38</v>
      </c>
      <c r="AC17" s="51" t="str">
        <f t="shared" si="2"/>
        <v>Wo</v>
      </c>
      <c r="AD17" s="65" t="s">
        <v>38</v>
      </c>
      <c r="AE17" s="65" t="s">
        <v>38</v>
      </c>
      <c r="AF17" s="65" t="s">
        <v>40</v>
      </c>
      <c r="AG17" s="65" t="s">
        <v>38</v>
      </c>
      <c r="AH17" s="65" t="s">
        <v>38</v>
      </c>
      <c r="AI17" s="65" t="s">
        <v>38</v>
      </c>
      <c r="AJ17" s="65" t="str">
        <f t="shared" si="2"/>
        <v>Wo</v>
      </c>
      <c r="AK17" s="65" t="s">
        <v>38</v>
      </c>
      <c r="AL17" s="65" t="s">
        <v>38</v>
      </c>
      <c r="AM17" s="65" t="s">
        <v>38</v>
      </c>
      <c r="AN17" s="65" t="s">
        <v>40</v>
      </c>
      <c r="AO17" s="16" t="s">
        <v>38</v>
      </c>
      <c r="AP17" s="77"/>
      <c r="AQ17" s="13"/>
      <c r="AR17" s="7">
        <v>10</v>
      </c>
      <c r="AS17" s="107">
        <v>1010</v>
      </c>
      <c r="AT17" s="107" t="str">
        <f t="shared" si="3"/>
        <v>July</v>
      </c>
      <c r="AU17" s="107" t="s">
        <v>10</v>
      </c>
      <c r="AV17" s="110">
        <f t="shared" si="4"/>
        <v>19</v>
      </c>
      <c r="AW17" s="110">
        <f t="shared" si="5"/>
        <v>4</v>
      </c>
      <c r="AX17" s="110">
        <f t="shared" si="6"/>
        <v>4</v>
      </c>
      <c r="AY17" s="110">
        <f t="shared" si="8"/>
        <v>4</v>
      </c>
      <c r="AZ17" s="113">
        <f t="shared" si="9"/>
        <v>31</v>
      </c>
      <c r="BA17" s="113">
        <f t="shared" si="10"/>
        <v>27</v>
      </c>
      <c r="BB17" s="116">
        <v>45000</v>
      </c>
      <c r="BC17" s="119">
        <f>JulyReport[[#This Row],[SALARY]]/JulyReport[[#This Row],[PAID DAYS]]</f>
        <v>1666.6666666666667</v>
      </c>
      <c r="BD17" s="119">
        <f>JulyReport[[#This Row],[SALARY]]-JulyReport[[#This Row],[ DEDUCTION]]</f>
        <v>43333.333333333336</v>
      </c>
      <c r="BE17" s="121"/>
      <c r="BF17" s="14"/>
      <c r="BG17" s="76"/>
      <c r="BH17" s="4"/>
      <c r="BI17" s="4"/>
      <c r="BJ17" s="4"/>
      <c r="BK17" s="4"/>
      <c r="BL17" s="4"/>
      <c r="BM17" s="4"/>
    </row>
    <row r="18" spans="4:65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7"/>
        <v>4</v>
      </c>
      <c r="K18" s="51" t="s">
        <v>38</v>
      </c>
      <c r="L18" s="51" t="s">
        <v>38</v>
      </c>
      <c r="M18" s="51" t="s">
        <v>38</v>
      </c>
      <c r="N18" s="51" t="s">
        <v>38</v>
      </c>
      <c r="O18" s="51" t="str">
        <f t="shared" si="2"/>
        <v>Wo</v>
      </c>
      <c r="P18" s="51" t="s">
        <v>38</v>
      </c>
      <c r="Q18" s="51" t="s">
        <v>38</v>
      </c>
      <c r="R18" s="51" t="s">
        <v>40</v>
      </c>
      <c r="S18" s="51" t="s">
        <v>38</v>
      </c>
      <c r="T18" s="51" t="s">
        <v>38</v>
      </c>
      <c r="U18" s="51" t="s">
        <v>38</v>
      </c>
      <c r="V18" s="51" t="str">
        <f t="shared" si="2"/>
        <v>Wo</v>
      </c>
      <c r="W18" s="51" t="s">
        <v>38</v>
      </c>
      <c r="X18" s="51" t="s">
        <v>38</v>
      </c>
      <c r="Y18" s="51" t="s">
        <v>38</v>
      </c>
      <c r="Z18" s="51" t="s">
        <v>40</v>
      </c>
      <c r="AA18" s="51" t="s">
        <v>38</v>
      </c>
      <c r="AB18" s="51" t="s">
        <v>38</v>
      </c>
      <c r="AC18" s="51" t="str">
        <f t="shared" si="2"/>
        <v>Wo</v>
      </c>
      <c r="AD18" s="65" t="s">
        <v>38</v>
      </c>
      <c r="AE18" s="65" t="s">
        <v>38</v>
      </c>
      <c r="AF18" s="65" t="s">
        <v>40</v>
      </c>
      <c r="AG18" s="65" t="s">
        <v>38</v>
      </c>
      <c r="AH18" s="65" t="s">
        <v>38</v>
      </c>
      <c r="AI18" s="65" t="s">
        <v>38</v>
      </c>
      <c r="AJ18" s="65" t="str">
        <f t="shared" si="2"/>
        <v>Wo</v>
      </c>
      <c r="AK18" s="65" t="s">
        <v>38</v>
      </c>
      <c r="AL18" s="65" t="s">
        <v>38</v>
      </c>
      <c r="AM18" s="65" t="s">
        <v>38</v>
      </c>
      <c r="AN18" s="65" t="s">
        <v>40</v>
      </c>
      <c r="AO18" s="16" t="s">
        <v>38</v>
      </c>
      <c r="AP18" s="77"/>
      <c r="AQ18" s="13"/>
      <c r="AR18" s="7">
        <v>11</v>
      </c>
      <c r="AS18" s="107">
        <v>1011</v>
      </c>
      <c r="AT18" s="107" t="str">
        <f t="shared" si="3"/>
        <v>July</v>
      </c>
      <c r="AU18" s="107" t="s">
        <v>11</v>
      </c>
      <c r="AV18" s="110">
        <f t="shared" si="4"/>
        <v>23</v>
      </c>
      <c r="AW18" s="110">
        <f t="shared" si="5"/>
        <v>0</v>
      </c>
      <c r="AX18" s="110">
        <f t="shared" si="6"/>
        <v>4</v>
      </c>
      <c r="AY18" s="110">
        <f t="shared" si="8"/>
        <v>4</v>
      </c>
      <c r="AZ18" s="113">
        <f t="shared" si="9"/>
        <v>31</v>
      </c>
      <c r="BA18" s="113">
        <f t="shared" si="10"/>
        <v>31</v>
      </c>
      <c r="BB18" s="116">
        <v>55000</v>
      </c>
      <c r="BC18" s="119">
        <f>JulyReport[[#This Row],[SALARY]]/JulyReport[[#This Row],[PAID DAYS]]</f>
        <v>1774.1935483870968</v>
      </c>
      <c r="BD18" s="119">
        <f>JulyReport[[#This Row],[SALARY]]-JulyReport[[#This Row],[ DEDUCTION]]</f>
        <v>53225.806451612902</v>
      </c>
      <c r="BE18" s="121"/>
      <c r="BF18" s="14"/>
      <c r="BG18" s="76"/>
      <c r="BH18" s="4"/>
      <c r="BI18" s="4"/>
      <c r="BJ18" s="4"/>
      <c r="BK18" s="4"/>
      <c r="BL18" s="4"/>
      <c r="BM18" s="4"/>
    </row>
    <row r="19" spans="4:65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7"/>
        <v>4</v>
      </c>
      <c r="K19" s="51" t="s">
        <v>38</v>
      </c>
      <c r="L19" s="51" t="s">
        <v>38</v>
      </c>
      <c r="M19" s="51" t="s">
        <v>38</v>
      </c>
      <c r="N19" s="51" t="s">
        <v>38</v>
      </c>
      <c r="O19" s="51" t="str">
        <f t="shared" si="2"/>
        <v>Wo</v>
      </c>
      <c r="P19" s="51" t="s">
        <v>38</v>
      </c>
      <c r="Q19" s="51" t="s">
        <v>38</v>
      </c>
      <c r="R19" s="51" t="s">
        <v>40</v>
      </c>
      <c r="S19" s="51" t="s">
        <v>38</v>
      </c>
      <c r="T19" s="51" t="s">
        <v>38</v>
      </c>
      <c r="U19" s="51" t="s">
        <v>38</v>
      </c>
      <c r="V19" s="51" t="str">
        <f t="shared" si="2"/>
        <v>Wo</v>
      </c>
      <c r="W19" s="51" t="s">
        <v>38</v>
      </c>
      <c r="X19" s="51" t="s">
        <v>38</v>
      </c>
      <c r="Y19" s="51" t="s">
        <v>38</v>
      </c>
      <c r="Z19" s="51" t="s">
        <v>40</v>
      </c>
      <c r="AA19" s="51" t="s">
        <v>38</v>
      </c>
      <c r="AB19" s="51" t="s">
        <v>38</v>
      </c>
      <c r="AC19" s="51" t="str">
        <f t="shared" si="2"/>
        <v>Wo</v>
      </c>
      <c r="AD19" s="65" t="s">
        <v>38</v>
      </c>
      <c r="AE19" s="65" t="s">
        <v>38</v>
      </c>
      <c r="AF19" s="65" t="s">
        <v>40</v>
      </c>
      <c r="AG19" s="65" t="s">
        <v>38</v>
      </c>
      <c r="AH19" s="65" t="s">
        <v>38</v>
      </c>
      <c r="AI19" s="65" t="s">
        <v>38</v>
      </c>
      <c r="AJ19" s="65" t="str">
        <f t="shared" si="2"/>
        <v>Wo</v>
      </c>
      <c r="AK19" s="65" t="s">
        <v>38</v>
      </c>
      <c r="AL19" s="65" t="s">
        <v>38</v>
      </c>
      <c r="AM19" s="65" t="s">
        <v>38</v>
      </c>
      <c r="AN19" s="65" t="s">
        <v>40</v>
      </c>
      <c r="AO19" s="16" t="s">
        <v>38</v>
      </c>
      <c r="AP19" s="77"/>
      <c r="AQ19" s="13"/>
      <c r="AR19" s="7">
        <v>12</v>
      </c>
      <c r="AS19" s="107">
        <v>1012</v>
      </c>
      <c r="AT19" s="107" t="str">
        <f t="shared" si="3"/>
        <v>July</v>
      </c>
      <c r="AU19" s="107" t="s">
        <v>12</v>
      </c>
      <c r="AV19" s="110">
        <f t="shared" si="4"/>
        <v>23</v>
      </c>
      <c r="AW19" s="110">
        <f t="shared" si="5"/>
        <v>0</v>
      </c>
      <c r="AX19" s="110">
        <f t="shared" si="6"/>
        <v>4</v>
      </c>
      <c r="AY19" s="110">
        <f t="shared" si="8"/>
        <v>4</v>
      </c>
      <c r="AZ19" s="113">
        <f t="shared" si="9"/>
        <v>31</v>
      </c>
      <c r="BA19" s="113">
        <f t="shared" si="10"/>
        <v>31</v>
      </c>
      <c r="BB19" s="116">
        <v>65000</v>
      </c>
      <c r="BC19" s="119">
        <f>JulyReport[[#This Row],[SALARY]]/JulyReport[[#This Row],[PAID DAYS]]</f>
        <v>2096.7741935483873</v>
      </c>
      <c r="BD19" s="119">
        <f>JulyReport[[#This Row],[SALARY]]-JulyReport[[#This Row],[ DEDUCTION]]</f>
        <v>62903.225806451614</v>
      </c>
      <c r="BE19" s="121"/>
      <c r="BF19" s="14"/>
      <c r="BG19" s="76"/>
      <c r="BH19" s="4"/>
      <c r="BI19" s="4"/>
      <c r="BJ19" s="4"/>
      <c r="BK19" s="4"/>
      <c r="BL19" s="4"/>
      <c r="BM19" s="4"/>
    </row>
    <row r="20" spans="4:65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7"/>
        <v>4</v>
      </c>
      <c r="K20" s="51" t="s">
        <v>38</v>
      </c>
      <c r="L20" s="51" t="s">
        <v>38</v>
      </c>
      <c r="M20" s="51" t="s">
        <v>38</v>
      </c>
      <c r="N20" s="51" t="s">
        <v>38</v>
      </c>
      <c r="O20" s="51" t="str">
        <f t="shared" si="2"/>
        <v>Wo</v>
      </c>
      <c r="P20" s="51" t="s">
        <v>38</v>
      </c>
      <c r="Q20" s="51" t="s">
        <v>38</v>
      </c>
      <c r="R20" s="51" t="s">
        <v>40</v>
      </c>
      <c r="S20" s="51" t="s">
        <v>38</v>
      </c>
      <c r="T20" s="51" t="s">
        <v>38</v>
      </c>
      <c r="U20" s="51" t="s">
        <v>38</v>
      </c>
      <c r="V20" s="51" t="str">
        <f t="shared" si="2"/>
        <v>Wo</v>
      </c>
      <c r="W20" s="51" t="s">
        <v>38</v>
      </c>
      <c r="X20" s="51" t="s">
        <v>38</v>
      </c>
      <c r="Y20" s="51" t="s">
        <v>38</v>
      </c>
      <c r="Z20" s="51" t="s">
        <v>40</v>
      </c>
      <c r="AA20" s="51" t="s">
        <v>38</v>
      </c>
      <c r="AB20" s="51" t="s">
        <v>38</v>
      </c>
      <c r="AC20" s="51" t="str">
        <f t="shared" si="2"/>
        <v>Wo</v>
      </c>
      <c r="AD20" s="65" t="s">
        <v>38</v>
      </c>
      <c r="AE20" s="65" t="s">
        <v>38</v>
      </c>
      <c r="AF20" s="65" t="s">
        <v>40</v>
      </c>
      <c r="AG20" s="65" t="s">
        <v>39</v>
      </c>
      <c r="AH20" s="65" t="s">
        <v>39</v>
      </c>
      <c r="AI20" s="65" t="s">
        <v>39</v>
      </c>
      <c r="AJ20" s="65" t="str">
        <f t="shared" si="2"/>
        <v>Wo</v>
      </c>
      <c r="AK20" s="65" t="s">
        <v>38</v>
      </c>
      <c r="AL20" s="65" t="s">
        <v>38</v>
      </c>
      <c r="AM20" s="65" t="s">
        <v>38</v>
      </c>
      <c r="AN20" s="65" t="s">
        <v>40</v>
      </c>
      <c r="AO20" s="16" t="s">
        <v>38</v>
      </c>
      <c r="AP20" s="77"/>
      <c r="AQ20" s="13"/>
      <c r="AR20" s="7">
        <v>13</v>
      </c>
      <c r="AS20" s="107">
        <v>1013</v>
      </c>
      <c r="AT20" s="107" t="str">
        <f t="shared" si="3"/>
        <v>July</v>
      </c>
      <c r="AU20" s="107" t="s">
        <v>13</v>
      </c>
      <c r="AV20" s="110">
        <f t="shared" si="4"/>
        <v>20</v>
      </c>
      <c r="AW20" s="110">
        <f t="shared" si="5"/>
        <v>3</v>
      </c>
      <c r="AX20" s="110">
        <f t="shared" si="6"/>
        <v>4</v>
      </c>
      <c r="AY20" s="110">
        <f t="shared" si="8"/>
        <v>4</v>
      </c>
      <c r="AZ20" s="113">
        <f t="shared" si="9"/>
        <v>31</v>
      </c>
      <c r="BA20" s="113">
        <f t="shared" si="10"/>
        <v>28</v>
      </c>
      <c r="BB20" s="116">
        <v>68000</v>
      </c>
      <c r="BC20" s="119">
        <f>JulyReport[[#This Row],[SALARY]]/JulyReport[[#This Row],[PAID DAYS]]</f>
        <v>2428.5714285714284</v>
      </c>
      <c r="BD20" s="119">
        <f>JulyReport[[#This Row],[SALARY]]-JulyReport[[#This Row],[ DEDUCTION]]</f>
        <v>65571.428571428565</v>
      </c>
      <c r="BE20" s="121"/>
      <c r="BF20" s="14"/>
      <c r="BG20" s="76"/>
      <c r="BH20" s="4"/>
      <c r="BI20" s="4"/>
      <c r="BJ20" s="4"/>
      <c r="BK20" s="4"/>
      <c r="BL20" s="4"/>
      <c r="BM20" s="4"/>
    </row>
    <row r="21" spans="4:65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7"/>
        <v>4</v>
      </c>
      <c r="K21" s="51" t="s">
        <v>39</v>
      </c>
      <c r="L21" s="51" t="s">
        <v>38</v>
      </c>
      <c r="M21" s="51" t="s">
        <v>38</v>
      </c>
      <c r="N21" s="51" t="s">
        <v>38</v>
      </c>
      <c r="O21" s="51" t="str">
        <f t="shared" si="2"/>
        <v>Wo</v>
      </c>
      <c r="P21" s="51" t="s">
        <v>38</v>
      </c>
      <c r="Q21" s="51" t="s">
        <v>38</v>
      </c>
      <c r="R21" s="51" t="s">
        <v>40</v>
      </c>
      <c r="S21" s="51" t="s">
        <v>38</v>
      </c>
      <c r="T21" s="51" t="s">
        <v>38</v>
      </c>
      <c r="U21" s="51" t="s">
        <v>38</v>
      </c>
      <c r="V21" s="51" t="str">
        <f t="shared" si="2"/>
        <v>Wo</v>
      </c>
      <c r="W21" s="51" t="s">
        <v>38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51" t="str">
        <f t="shared" si="2"/>
        <v>Wo</v>
      </c>
      <c r="AD21" s="65" t="s">
        <v>38</v>
      </c>
      <c r="AE21" s="65" t="s">
        <v>38</v>
      </c>
      <c r="AF21" s="65" t="s">
        <v>40</v>
      </c>
      <c r="AG21" s="65" t="s">
        <v>38</v>
      </c>
      <c r="AH21" s="65" t="s">
        <v>38</v>
      </c>
      <c r="AI21" s="65" t="s">
        <v>38</v>
      </c>
      <c r="AJ21" s="65" t="str">
        <f t="shared" si="2"/>
        <v>Wo</v>
      </c>
      <c r="AK21" s="65" t="s">
        <v>38</v>
      </c>
      <c r="AL21" s="65" t="s">
        <v>38</v>
      </c>
      <c r="AM21" s="65" t="s">
        <v>38</v>
      </c>
      <c r="AN21" s="65" t="s">
        <v>40</v>
      </c>
      <c r="AO21" s="16" t="s">
        <v>38</v>
      </c>
      <c r="AP21" s="77"/>
      <c r="AQ21" s="13"/>
      <c r="AR21" s="7">
        <v>14</v>
      </c>
      <c r="AS21" s="107">
        <v>1014</v>
      </c>
      <c r="AT21" s="107" t="str">
        <f t="shared" si="3"/>
        <v>July</v>
      </c>
      <c r="AU21" s="107" t="s">
        <v>14</v>
      </c>
      <c r="AV21" s="110">
        <f t="shared" si="4"/>
        <v>22</v>
      </c>
      <c r="AW21" s="110">
        <f t="shared" si="5"/>
        <v>1</v>
      </c>
      <c r="AX21" s="110">
        <f t="shared" si="6"/>
        <v>4</v>
      </c>
      <c r="AY21" s="110">
        <f t="shared" si="8"/>
        <v>4</v>
      </c>
      <c r="AZ21" s="113">
        <f t="shared" si="9"/>
        <v>31</v>
      </c>
      <c r="BA21" s="113">
        <f t="shared" si="10"/>
        <v>30</v>
      </c>
      <c r="BB21" s="116">
        <v>72000</v>
      </c>
      <c r="BC21" s="119">
        <f>JulyReport[[#This Row],[SALARY]]/JulyReport[[#This Row],[PAID DAYS]]</f>
        <v>2400</v>
      </c>
      <c r="BD21" s="119">
        <f>JulyReport[[#This Row],[SALARY]]-JulyReport[[#This Row],[ DEDUCTION]]</f>
        <v>69600</v>
      </c>
      <c r="BE21" s="121"/>
      <c r="BF21" s="14"/>
      <c r="BG21" s="76"/>
      <c r="BH21" s="4"/>
      <c r="BI21" s="4"/>
      <c r="BJ21" s="4"/>
      <c r="BK21" s="4"/>
      <c r="BL21" s="4"/>
      <c r="BM21" s="4"/>
    </row>
    <row r="22" spans="4:65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7"/>
        <v>4</v>
      </c>
      <c r="K22" s="51" t="s">
        <v>38</v>
      </c>
      <c r="L22" s="51" t="s">
        <v>38</v>
      </c>
      <c r="M22" s="51" t="s">
        <v>38</v>
      </c>
      <c r="N22" s="51" t="s">
        <v>38</v>
      </c>
      <c r="O22" s="51" t="str">
        <f t="shared" si="2"/>
        <v>Wo</v>
      </c>
      <c r="P22" s="51" t="s">
        <v>38</v>
      </c>
      <c r="Q22" s="51" t="s">
        <v>38</v>
      </c>
      <c r="R22" s="51" t="s">
        <v>40</v>
      </c>
      <c r="S22" s="51" t="s">
        <v>38</v>
      </c>
      <c r="T22" s="51" t="s">
        <v>38</v>
      </c>
      <c r="U22" s="51" t="s">
        <v>38</v>
      </c>
      <c r="V22" s="51" t="str">
        <f t="shared" si="2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51" t="str">
        <f t="shared" si="2"/>
        <v>Wo</v>
      </c>
      <c r="AD22" s="65" t="s">
        <v>38</v>
      </c>
      <c r="AE22" s="65" t="s">
        <v>38</v>
      </c>
      <c r="AF22" s="65" t="s">
        <v>40</v>
      </c>
      <c r="AG22" s="65" t="s">
        <v>38</v>
      </c>
      <c r="AH22" s="65" t="s">
        <v>38</v>
      </c>
      <c r="AI22" s="65" t="s">
        <v>38</v>
      </c>
      <c r="AJ22" s="65" t="str">
        <f t="shared" si="2"/>
        <v>Wo</v>
      </c>
      <c r="AK22" s="65" t="s">
        <v>38</v>
      </c>
      <c r="AL22" s="65" t="s">
        <v>38</v>
      </c>
      <c r="AM22" s="65" t="s">
        <v>38</v>
      </c>
      <c r="AN22" s="65" t="s">
        <v>40</v>
      </c>
      <c r="AO22" s="16" t="s">
        <v>38</v>
      </c>
      <c r="AP22" s="77"/>
      <c r="AQ22" s="13"/>
      <c r="AR22" s="7">
        <v>15</v>
      </c>
      <c r="AS22" s="107">
        <v>1015</v>
      </c>
      <c r="AT22" s="107" t="str">
        <f t="shared" si="3"/>
        <v>July</v>
      </c>
      <c r="AU22" s="107" t="s">
        <v>15</v>
      </c>
      <c r="AV22" s="110">
        <f t="shared" si="4"/>
        <v>23</v>
      </c>
      <c r="AW22" s="110">
        <f t="shared" si="5"/>
        <v>0</v>
      </c>
      <c r="AX22" s="110">
        <f t="shared" si="6"/>
        <v>4</v>
      </c>
      <c r="AY22" s="110">
        <f t="shared" si="8"/>
        <v>4</v>
      </c>
      <c r="AZ22" s="113">
        <f t="shared" si="9"/>
        <v>31</v>
      </c>
      <c r="BA22" s="113">
        <f t="shared" si="10"/>
        <v>31</v>
      </c>
      <c r="BB22" s="116">
        <v>20000</v>
      </c>
      <c r="BC22" s="119">
        <f>JulyReport[[#This Row],[SALARY]]/JulyReport[[#This Row],[PAID DAYS]]</f>
        <v>645.16129032258061</v>
      </c>
      <c r="BD22" s="119">
        <f>JulyReport[[#This Row],[SALARY]]-JulyReport[[#This Row],[ DEDUCTION]]</f>
        <v>19354.83870967742</v>
      </c>
      <c r="BE22" s="121"/>
      <c r="BF22" s="14"/>
      <c r="BG22" s="76"/>
      <c r="BH22" s="4"/>
      <c r="BI22" s="4"/>
      <c r="BJ22" s="4"/>
      <c r="BK22" s="4"/>
      <c r="BL22" s="4"/>
      <c r="BM22" s="4"/>
    </row>
    <row r="23" spans="4:65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7"/>
        <v>4</v>
      </c>
      <c r="K23" s="51" t="s">
        <v>38</v>
      </c>
      <c r="L23" s="51" t="s">
        <v>38</v>
      </c>
      <c r="M23" s="51" t="s">
        <v>39</v>
      </c>
      <c r="N23" s="51" t="s">
        <v>38</v>
      </c>
      <c r="O23" s="51" t="str">
        <f t="shared" si="2"/>
        <v>Wo</v>
      </c>
      <c r="P23" s="51" t="s">
        <v>38</v>
      </c>
      <c r="Q23" s="51" t="s">
        <v>38</v>
      </c>
      <c r="R23" s="51" t="s">
        <v>40</v>
      </c>
      <c r="S23" s="51" t="s">
        <v>38</v>
      </c>
      <c r="T23" s="51" t="s">
        <v>38</v>
      </c>
      <c r="U23" s="51" t="s">
        <v>38</v>
      </c>
      <c r="V23" s="51" t="str">
        <f t="shared" si="2"/>
        <v>Wo</v>
      </c>
      <c r="W23" s="51" t="s">
        <v>38</v>
      </c>
      <c r="X23" s="51" t="s">
        <v>38</v>
      </c>
      <c r="Y23" s="51" t="s">
        <v>38</v>
      </c>
      <c r="Z23" s="51" t="s">
        <v>40</v>
      </c>
      <c r="AA23" s="51" t="s">
        <v>38</v>
      </c>
      <c r="AB23" s="51" t="s">
        <v>38</v>
      </c>
      <c r="AC23" s="51" t="str">
        <f t="shared" si="2"/>
        <v>Wo</v>
      </c>
      <c r="AD23" s="65" t="s">
        <v>38</v>
      </c>
      <c r="AE23" s="65" t="s">
        <v>38</v>
      </c>
      <c r="AF23" s="65" t="s">
        <v>40</v>
      </c>
      <c r="AG23" s="65" t="s">
        <v>38</v>
      </c>
      <c r="AH23" s="65" t="s">
        <v>38</v>
      </c>
      <c r="AI23" s="65" t="s">
        <v>38</v>
      </c>
      <c r="AJ23" s="65" t="str">
        <f t="shared" si="2"/>
        <v>Wo</v>
      </c>
      <c r="AK23" s="65" t="s">
        <v>38</v>
      </c>
      <c r="AL23" s="65" t="s">
        <v>38</v>
      </c>
      <c r="AM23" s="65" t="s">
        <v>38</v>
      </c>
      <c r="AN23" s="65" t="s">
        <v>40</v>
      </c>
      <c r="AO23" s="16" t="s">
        <v>38</v>
      </c>
      <c r="AP23" s="77"/>
      <c r="AQ23" s="13"/>
      <c r="AR23" s="7">
        <v>16</v>
      </c>
      <c r="AS23" s="107">
        <v>1016</v>
      </c>
      <c r="AT23" s="107" t="str">
        <f t="shared" si="3"/>
        <v>July</v>
      </c>
      <c r="AU23" s="107" t="s">
        <v>16</v>
      </c>
      <c r="AV23" s="110">
        <f t="shared" si="4"/>
        <v>22</v>
      </c>
      <c r="AW23" s="110">
        <f t="shared" si="5"/>
        <v>1</v>
      </c>
      <c r="AX23" s="110">
        <f t="shared" si="6"/>
        <v>4</v>
      </c>
      <c r="AY23" s="110">
        <f t="shared" si="8"/>
        <v>4</v>
      </c>
      <c r="AZ23" s="113">
        <f t="shared" si="9"/>
        <v>31</v>
      </c>
      <c r="BA23" s="113">
        <f t="shared" si="10"/>
        <v>30</v>
      </c>
      <c r="BB23" s="116">
        <v>56000</v>
      </c>
      <c r="BC23" s="119">
        <f>JulyReport[[#This Row],[SALARY]]/JulyReport[[#This Row],[PAID DAYS]]</f>
        <v>1866.6666666666667</v>
      </c>
      <c r="BD23" s="119">
        <f>JulyReport[[#This Row],[SALARY]]-JulyReport[[#This Row],[ DEDUCTION]]</f>
        <v>54133.333333333336</v>
      </c>
      <c r="BE23" s="121"/>
      <c r="BF23" s="14"/>
      <c r="BG23" s="76"/>
      <c r="BH23" s="4"/>
      <c r="BI23" s="4"/>
      <c r="BJ23" s="4"/>
      <c r="BK23" s="4"/>
      <c r="BL23" s="4"/>
      <c r="BM23" s="4"/>
    </row>
    <row r="24" spans="4:65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7"/>
        <v>4</v>
      </c>
      <c r="K24" s="51" t="s">
        <v>38</v>
      </c>
      <c r="L24" s="51" t="s">
        <v>38</v>
      </c>
      <c r="M24" s="51" t="s">
        <v>38</v>
      </c>
      <c r="N24" s="51" t="s">
        <v>38</v>
      </c>
      <c r="O24" s="51" t="str">
        <f t="shared" ref="O24:V27" si="11">IF(O$6="sun","Wo"," ")</f>
        <v>Wo</v>
      </c>
      <c r="P24" s="51" t="s">
        <v>38</v>
      </c>
      <c r="Q24" s="51" t="s">
        <v>39</v>
      </c>
      <c r="R24" s="51" t="s">
        <v>40</v>
      </c>
      <c r="S24" s="51" t="s">
        <v>38</v>
      </c>
      <c r="T24" s="51" t="s">
        <v>38</v>
      </c>
      <c r="U24" s="51" t="s">
        <v>38</v>
      </c>
      <c r="V24" s="51" t="str">
        <f t="shared" si="11"/>
        <v>Wo</v>
      </c>
      <c r="W24" s="51" t="s">
        <v>38</v>
      </c>
      <c r="X24" s="51" t="s">
        <v>38</v>
      </c>
      <c r="Y24" s="51" t="s">
        <v>38</v>
      </c>
      <c r="Z24" s="51" t="s">
        <v>40</v>
      </c>
      <c r="AA24" s="51" t="s">
        <v>38</v>
      </c>
      <c r="AB24" s="51" t="s">
        <v>38</v>
      </c>
      <c r="AC24" s="51" t="str">
        <f t="shared" ref="AC24:AJ27" si="12">IF(AC$6="sun","Wo"," ")</f>
        <v>Wo</v>
      </c>
      <c r="AD24" s="65" t="s">
        <v>38</v>
      </c>
      <c r="AE24" s="65" t="s">
        <v>38</v>
      </c>
      <c r="AF24" s="65" t="s">
        <v>40</v>
      </c>
      <c r="AG24" s="65" t="s">
        <v>38</v>
      </c>
      <c r="AH24" s="65" t="s">
        <v>38</v>
      </c>
      <c r="AI24" s="65" t="s">
        <v>38</v>
      </c>
      <c r="AJ24" s="65" t="str">
        <f t="shared" si="12"/>
        <v>Wo</v>
      </c>
      <c r="AK24" s="65" t="s">
        <v>38</v>
      </c>
      <c r="AL24" s="65" t="s">
        <v>38</v>
      </c>
      <c r="AM24" s="65" t="s">
        <v>38</v>
      </c>
      <c r="AN24" s="65" t="s">
        <v>40</v>
      </c>
      <c r="AO24" s="16" t="s">
        <v>38</v>
      </c>
      <c r="AP24" s="77"/>
      <c r="AQ24" s="13"/>
      <c r="AR24" s="7">
        <v>17</v>
      </c>
      <c r="AS24" s="107">
        <v>1017</v>
      </c>
      <c r="AT24" s="107" t="str">
        <f t="shared" si="3"/>
        <v>July</v>
      </c>
      <c r="AU24" s="107" t="s">
        <v>17</v>
      </c>
      <c r="AV24" s="110">
        <f t="shared" si="4"/>
        <v>22</v>
      </c>
      <c r="AW24" s="110">
        <f t="shared" si="5"/>
        <v>1</v>
      </c>
      <c r="AX24" s="110">
        <f t="shared" si="6"/>
        <v>4</v>
      </c>
      <c r="AY24" s="110">
        <f t="shared" si="8"/>
        <v>4</v>
      </c>
      <c r="AZ24" s="113">
        <f t="shared" si="9"/>
        <v>31</v>
      </c>
      <c r="BA24" s="113">
        <f t="shared" si="10"/>
        <v>30</v>
      </c>
      <c r="BB24" s="116">
        <v>35000</v>
      </c>
      <c r="BC24" s="119">
        <f>JulyReport[[#This Row],[SALARY]]/JulyReport[[#This Row],[PAID DAYS]]</f>
        <v>1166.6666666666667</v>
      </c>
      <c r="BD24" s="119">
        <f>JulyReport[[#This Row],[SALARY]]-JulyReport[[#This Row],[ DEDUCTION]]</f>
        <v>33833.333333333336</v>
      </c>
      <c r="BE24" s="121"/>
      <c r="BF24" s="14"/>
      <c r="BG24" s="76"/>
      <c r="BH24" s="4"/>
      <c r="BI24" s="4"/>
      <c r="BJ24" s="4"/>
      <c r="BK24" s="4"/>
      <c r="BL24" s="4"/>
      <c r="BM24" s="4"/>
    </row>
    <row r="25" spans="4:65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7"/>
        <v>4</v>
      </c>
      <c r="K25" s="51" t="s">
        <v>39</v>
      </c>
      <c r="L25" s="51" t="s">
        <v>38</v>
      </c>
      <c r="M25" s="51" t="s">
        <v>39</v>
      </c>
      <c r="N25" s="51" t="s">
        <v>38</v>
      </c>
      <c r="O25" s="51" t="str">
        <f t="shared" si="11"/>
        <v>Wo</v>
      </c>
      <c r="P25" s="51" t="s">
        <v>38</v>
      </c>
      <c r="Q25" s="51" t="s">
        <v>38</v>
      </c>
      <c r="R25" s="51" t="s">
        <v>40</v>
      </c>
      <c r="S25" s="51" t="s">
        <v>38</v>
      </c>
      <c r="T25" s="51" t="s">
        <v>38</v>
      </c>
      <c r="U25" s="51" t="s">
        <v>38</v>
      </c>
      <c r="V25" s="51" t="str">
        <f t="shared" si="11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38</v>
      </c>
      <c r="AB25" s="51" t="s">
        <v>38</v>
      </c>
      <c r="AC25" s="51" t="str">
        <f t="shared" si="12"/>
        <v>Wo</v>
      </c>
      <c r="AD25" s="65" t="s">
        <v>38</v>
      </c>
      <c r="AE25" s="65" t="s">
        <v>38</v>
      </c>
      <c r="AF25" s="65" t="s">
        <v>40</v>
      </c>
      <c r="AG25" s="65" t="s">
        <v>38</v>
      </c>
      <c r="AH25" s="65" t="s">
        <v>38</v>
      </c>
      <c r="AI25" s="65" t="s">
        <v>38</v>
      </c>
      <c r="AJ25" s="65" t="str">
        <f t="shared" si="12"/>
        <v>Wo</v>
      </c>
      <c r="AK25" s="65" t="s">
        <v>38</v>
      </c>
      <c r="AL25" s="65" t="s">
        <v>38</v>
      </c>
      <c r="AM25" s="65" t="s">
        <v>38</v>
      </c>
      <c r="AN25" s="65" t="s">
        <v>40</v>
      </c>
      <c r="AO25" s="16" t="s">
        <v>38</v>
      </c>
      <c r="AP25" s="77"/>
      <c r="AQ25" s="13"/>
      <c r="AR25" s="7">
        <v>18</v>
      </c>
      <c r="AS25" s="107">
        <v>1018</v>
      </c>
      <c r="AT25" s="107" t="str">
        <f t="shared" si="3"/>
        <v>July</v>
      </c>
      <c r="AU25" s="107" t="s">
        <v>18</v>
      </c>
      <c r="AV25" s="110">
        <f t="shared" si="4"/>
        <v>21</v>
      </c>
      <c r="AW25" s="110">
        <f t="shared" si="5"/>
        <v>2</v>
      </c>
      <c r="AX25" s="110">
        <f t="shared" si="6"/>
        <v>4</v>
      </c>
      <c r="AY25" s="110">
        <f t="shared" si="8"/>
        <v>4</v>
      </c>
      <c r="AZ25" s="113">
        <f t="shared" si="9"/>
        <v>31</v>
      </c>
      <c r="BA25" s="113">
        <f t="shared" si="10"/>
        <v>29</v>
      </c>
      <c r="BB25" s="116">
        <v>12000</v>
      </c>
      <c r="BC25" s="119">
        <f>JulyReport[[#This Row],[SALARY]]/JulyReport[[#This Row],[PAID DAYS]]</f>
        <v>413.79310344827587</v>
      </c>
      <c r="BD25" s="119">
        <f>JulyReport[[#This Row],[SALARY]]-JulyReport[[#This Row],[ DEDUCTION]]</f>
        <v>11586.206896551725</v>
      </c>
      <c r="BE25" s="121"/>
      <c r="BF25" s="14"/>
      <c r="BG25" s="76"/>
      <c r="BH25" s="4"/>
      <c r="BI25" s="4"/>
      <c r="BJ25" s="4"/>
      <c r="BK25" s="4"/>
      <c r="BL25" s="4"/>
      <c r="BM25" s="4"/>
    </row>
    <row r="26" spans="4:65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7"/>
        <v>4</v>
      </c>
      <c r="K26" s="51" t="s">
        <v>39</v>
      </c>
      <c r="L26" s="51" t="s">
        <v>38</v>
      </c>
      <c r="M26" s="51" t="s">
        <v>38</v>
      </c>
      <c r="N26" s="51" t="s">
        <v>38</v>
      </c>
      <c r="O26" s="51" t="str">
        <f t="shared" si="11"/>
        <v>Wo</v>
      </c>
      <c r="P26" s="51" t="s">
        <v>38</v>
      </c>
      <c r="Q26" s="51" t="s">
        <v>38</v>
      </c>
      <c r="R26" s="51" t="s">
        <v>40</v>
      </c>
      <c r="S26" s="51" t="s">
        <v>38</v>
      </c>
      <c r="T26" s="51" t="s">
        <v>38</v>
      </c>
      <c r="U26" s="51" t="s">
        <v>38</v>
      </c>
      <c r="V26" s="51" t="str">
        <f t="shared" si="11"/>
        <v>Wo</v>
      </c>
      <c r="W26" s="51" t="s">
        <v>38</v>
      </c>
      <c r="X26" s="51" t="s">
        <v>38</v>
      </c>
      <c r="Y26" s="51" t="s">
        <v>39</v>
      </c>
      <c r="Z26" s="51" t="s">
        <v>40</v>
      </c>
      <c r="AA26" s="51" t="s">
        <v>39</v>
      </c>
      <c r="AB26" s="51" t="s">
        <v>38</v>
      </c>
      <c r="AC26" s="51" t="str">
        <f t="shared" si="12"/>
        <v>Wo</v>
      </c>
      <c r="AD26" s="65" t="s">
        <v>38</v>
      </c>
      <c r="AE26" s="65" t="s">
        <v>38</v>
      </c>
      <c r="AF26" s="65" t="s">
        <v>40</v>
      </c>
      <c r="AG26" s="65" t="s">
        <v>38</v>
      </c>
      <c r="AH26" s="65" t="s">
        <v>38</v>
      </c>
      <c r="AI26" s="65" t="s">
        <v>38</v>
      </c>
      <c r="AJ26" s="65" t="str">
        <f t="shared" si="12"/>
        <v>Wo</v>
      </c>
      <c r="AK26" s="65" t="s">
        <v>38</v>
      </c>
      <c r="AL26" s="65" t="s">
        <v>38</v>
      </c>
      <c r="AM26" s="65" t="s">
        <v>38</v>
      </c>
      <c r="AN26" s="65" t="s">
        <v>40</v>
      </c>
      <c r="AO26" s="16" t="s">
        <v>38</v>
      </c>
      <c r="AP26" s="77"/>
      <c r="AQ26" s="13"/>
      <c r="AR26" s="7">
        <v>19</v>
      </c>
      <c r="AS26" s="107">
        <v>1019</v>
      </c>
      <c r="AT26" s="107" t="str">
        <f t="shared" si="3"/>
        <v>July</v>
      </c>
      <c r="AU26" s="107" t="s">
        <v>19</v>
      </c>
      <c r="AV26" s="110">
        <f t="shared" si="4"/>
        <v>20</v>
      </c>
      <c r="AW26" s="110">
        <f t="shared" si="5"/>
        <v>3</v>
      </c>
      <c r="AX26" s="110">
        <f t="shared" si="6"/>
        <v>4</v>
      </c>
      <c r="AY26" s="110">
        <f t="shared" si="8"/>
        <v>4</v>
      </c>
      <c r="AZ26" s="113">
        <f t="shared" si="9"/>
        <v>31</v>
      </c>
      <c r="BA26" s="113">
        <f t="shared" si="10"/>
        <v>28</v>
      </c>
      <c r="BB26" s="116">
        <v>19000</v>
      </c>
      <c r="BC26" s="119">
        <f>JulyReport[[#This Row],[SALARY]]/JulyReport[[#This Row],[PAID DAYS]]</f>
        <v>678.57142857142856</v>
      </c>
      <c r="BD26" s="119">
        <f>JulyReport[[#This Row],[SALARY]]-JulyReport[[#This Row],[ DEDUCTION]]</f>
        <v>18321.428571428572</v>
      </c>
      <c r="BE26" s="121"/>
      <c r="BF26" s="14"/>
      <c r="BG26" s="76"/>
      <c r="BH26" s="4"/>
      <c r="BI26" s="4"/>
      <c r="BJ26" s="4"/>
      <c r="BK26" s="4"/>
      <c r="BL26" s="4"/>
      <c r="BM26" s="4"/>
    </row>
    <row r="27" spans="4:65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7"/>
        <v>4</v>
      </c>
      <c r="K27" s="9" t="s">
        <v>38</v>
      </c>
      <c r="L27" s="9" t="s">
        <v>38</v>
      </c>
      <c r="M27" s="9" t="s">
        <v>38</v>
      </c>
      <c r="N27" s="9" t="s">
        <v>38</v>
      </c>
      <c r="O27" s="9" t="str">
        <f t="shared" si="11"/>
        <v>Wo</v>
      </c>
      <c r="P27" s="9" t="s">
        <v>38</v>
      </c>
      <c r="Q27" s="9" t="s">
        <v>38</v>
      </c>
      <c r="R27" s="9" t="s">
        <v>40</v>
      </c>
      <c r="S27" s="9" t="s">
        <v>38</v>
      </c>
      <c r="T27" s="9" t="s">
        <v>38</v>
      </c>
      <c r="U27" s="9" t="s">
        <v>38</v>
      </c>
      <c r="V27" s="9" t="str">
        <f t="shared" si="11"/>
        <v>Wo</v>
      </c>
      <c r="W27" s="9" t="s">
        <v>38</v>
      </c>
      <c r="X27" s="9" t="s">
        <v>38</v>
      </c>
      <c r="Y27" s="9" t="s">
        <v>38</v>
      </c>
      <c r="Z27" s="9" t="s">
        <v>40</v>
      </c>
      <c r="AA27" s="9" t="s">
        <v>38</v>
      </c>
      <c r="AB27" s="9" t="s">
        <v>38</v>
      </c>
      <c r="AC27" s="9" t="str">
        <f t="shared" si="12"/>
        <v>Wo</v>
      </c>
      <c r="AD27" s="17" t="s">
        <v>38</v>
      </c>
      <c r="AE27" s="17" t="s">
        <v>38</v>
      </c>
      <c r="AF27" s="17" t="s">
        <v>40</v>
      </c>
      <c r="AG27" s="17" t="s">
        <v>38</v>
      </c>
      <c r="AH27" s="17" t="s">
        <v>38</v>
      </c>
      <c r="AI27" s="17" t="s">
        <v>38</v>
      </c>
      <c r="AJ27" s="17" t="str">
        <f t="shared" si="12"/>
        <v>Wo</v>
      </c>
      <c r="AK27" s="17" t="s">
        <v>38</v>
      </c>
      <c r="AL27" s="17" t="s">
        <v>38</v>
      </c>
      <c r="AM27" s="17" t="s">
        <v>38</v>
      </c>
      <c r="AN27" s="17" t="s">
        <v>40</v>
      </c>
      <c r="AO27" s="24" t="s">
        <v>38</v>
      </c>
      <c r="AP27" s="77"/>
      <c r="AQ27" s="13"/>
      <c r="AR27" s="7">
        <v>20</v>
      </c>
      <c r="AS27" s="107">
        <v>1020</v>
      </c>
      <c r="AT27" s="107" t="str">
        <f t="shared" si="3"/>
        <v>July</v>
      </c>
      <c r="AU27" s="107" t="s">
        <v>20</v>
      </c>
      <c r="AV27" s="110">
        <f t="shared" si="4"/>
        <v>23</v>
      </c>
      <c r="AW27" s="110">
        <f t="shared" si="5"/>
        <v>0</v>
      </c>
      <c r="AX27" s="110">
        <f t="shared" si="6"/>
        <v>4</v>
      </c>
      <c r="AY27" s="110">
        <f t="shared" si="8"/>
        <v>4</v>
      </c>
      <c r="AZ27" s="113">
        <f t="shared" si="9"/>
        <v>31</v>
      </c>
      <c r="BA27" s="113">
        <f t="shared" si="10"/>
        <v>31</v>
      </c>
      <c r="BB27" s="116">
        <v>21000</v>
      </c>
      <c r="BC27" s="119">
        <f>JulyReport[[#This Row],[SALARY]]/JulyReport[[#This Row],[PAID DAYS]]</f>
        <v>677.41935483870964</v>
      </c>
      <c r="BD27" s="119">
        <f>JulyReport[[#This Row],[SALARY]]-JulyReport[[#This Row],[ DEDUCTION]]</f>
        <v>20322.580645161292</v>
      </c>
      <c r="BE27" s="121"/>
      <c r="BF27" s="14"/>
      <c r="BG27" s="76"/>
      <c r="BH27" s="4"/>
      <c r="BI27" s="4"/>
      <c r="BJ27" s="4"/>
      <c r="BK27" s="4"/>
      <c r="BL27" s="4"/>
      <c r="BM27" s="4"/>
    </row>
    <row r="28" spans="4:65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75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76"/>
      <c r="BH28" s="4"/>
      <c r="BI28" s="4"/>
      <c r="BJ28" s="4"/>
      <c r="BK28" s="4"/>
      <c r="BL28" s="4"/>
      <c r="BM28" s="4"/>
    </row>
    <row r="29" spans="4:65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75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76"/>
      <c r="BH29" s="4"/>
      <c r="BI29" s="4"/>
      <c r="BJ29" s="4"/>
      <c r="BK29" s="4"/>
      <c r="BL29" s="4"/>
      <c r="BM29" s="4"/>
    </row>
    <row r="30" spans="4:65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75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76"/>
      <c r="BH30" s="4"/>
      <c r="BI30" s="4"/>
      <c r="BJ30" s="4"/>
      <c r="BK30" s="4"/>
      <c r="BL30" s="4"/>
      <c r="BM30" s="4"/>
    </row>
    <row r="31" spans="4:65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75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76"/>
      <c r="BH31" s="4"/>
      <c r="BI31" s="4"/>
      <c r="BJ31" s="4"/>
      <c r="BK31" s="4"/>
      <c r="BL31" s="4"/>
      <c r="BM31" s="4"/>
    </row>
    <row r="32" spans="4:65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75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76"/>
      <c r="BH32" s="4"/>
      <c r="BI32" s="4"/>
      <c r="BJ32" s="4"/>
      <c r="BK32" s="4"/>
      <c r="BL32" s="4"/>
      <c r="BM32" s="4"/>
    </row>
    <row r="33" spans="1:65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75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76"/>
      <c r="BH33" s="4"/>
      <c r="BI33" s="4"/>
      <c r="BJ33" s="4"/>
      <c r="BK33" s="4"/>
      <c r="BL33" s="4"/>
      <c r="BM33" s="4"/>
    </row>
    <row r="34" spans="1:65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75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76"/>
      <c r="BH34" s="4"/>
      <c r="BI34" s="4"/>
      <c r="BJ34" s="4"/>
      <c r="BK34" s="4"/>
      <c r="BL34" s="4"/>
      <c r="BM34" s="4"/>
    </row>
    <row r="35" spans="1:65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75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76"/>
      <c r="BH35" s="4"/>
      <c r="BI35" s="4"/>
      <c r="BJ35" s="4"/>
      <c r="BK35" s="4"/>
      <c r="BL35" s="4"/>
      <c r="BM35" s="4"/>
    </row>
    <row r="36" spans="1:65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0"/>
      <c r="BF36" s="80"/>
      <c r="BG36" s="81"/>
      <c r="BH36" s="4"/>
      <c r="BI36" s="4"/>
      <c r="BJ36" s="4"/>
      <c r="BK36" s="4"/>
      <c r="BL36" s="4"/>
      <c r="BM36" s="4"/>
    </row>
    <row r="37" spans="1:65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</row>
    <row r="38" spans="1:65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</row>
    <row r="39" spans="1:65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</row>
    <row r="40" spans="1:65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</row>
    <row r="41" spans="1:65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</row>
    <row r="42" spans="1:65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</row>
    <row r="43" spans="1:65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</row>
    <row r="44" spans="1:65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</row>
    <row r="45" spans="1:65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</row>
    <row r="46" spans="1:65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</row>
    <row r="47" spans="1:65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</row>
    <row r="48" spans="1:65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</row>
    <row r="49" spans="42:65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</row>
    <row r="50" spans="42:65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</row>
    <row r="51" spans="42:65" ht="30" customHeight="1">
      <c r="AP51" s="4"/>
      <c r="AQ51" s="5"/>
    </row>
    <row r="52" spans="42:65" ht="30" customHeight="1">
      <c r="AP52" s="4"/>
      <c r="AQ52" s="5"/>
    </row>
    <row r="53" spans="42:65" ht="30" customHeight="1">
      <c r="AP53" s="4"/>
      <c r="AQ53" s="5"/>
    </row>
    <row r="54" spans="42:65" ht="30" customHeight="1">
      <c r="AP54" s="4"/>
      <c r="AQ54" s="5"/>
    </row>
    <row r="55" spans="42:65" ht="30" customHeight="1">
      <c r="AP55" s="4"/>
      <c r="AQ55" s="5"/>
    </row>
    <row r="56" spans="42:65" ht="30" customHeight="1">
      <c r="AP56" s="4"/>
      <c r="AQ56" s="5"/>
    </row>
    <row r="57" spans="42:65" ht="30" customHeight="1">
      <c r="AP57" s="4"/>
      <c r="AQ57" s="5"/>
    </row>
    <row r="58" spans="42:65" ht="30" customHeight="1">
      <c r="AP58" s="4"/>
      <c r="AQ58" s="5"/>
    </row>
    <row r="59" spans="42:65" ht="30" customHeight="1">
      <c r="AP59" s="4"/>
      <c r="AQ59" s="5"/>
    </row>
    <row r="60" spans="42:65" ht="30" customHeight="1">
      <c r="AP60" s="4"/>
      <c r="AQ60" s="5"/>
    </row>
    <row r="61" spans="42:65" ht="30" customHeight="1">
      <c r="AP61" s="4"/>
      <c r="AQ61" s="5"/>
    </row>
    <row r="62" spans="42:65" ht="30" customHeight="1"/>
    <row r="63" spans="42:65" ht="30" customHeight="1"/>
    <row r="64" spans="42:65" ht="30" customHeight="1"/>
    <row r="65" ht="30" customHeight="1"/>
  </sheetData>
  <mergeCells count="1">
    <mergeCell ref="G6:I6"/>
  </mergeCells>
  <conditionalFormatting sqref="J6:AO27">
    <cfRule type="containsText" dxfId="26" priority="4" operator="containsText" text="WO">
      <formula>NOT(ISERROR(SEARCH("WO",J6)))</formula>
    </cfRule>
  </conditionalFormatting>
  <conditionalFormatting sqref="K8:AO27">
    <cfRule type="containsText" dxfId="25" priority="1" operator="containsText" text="L">
      <formula>NOT(ISERROR(SEARCH("L",K8)))</formula>
    </cfRule>
    <cfRule type="containsText" dxfId="24" priority="2" operator="containsText" text="A">
      <formula>NOT(ISERROR(SEARCH("A",K8)))</formula>
    </cfRule>
    <cfRule type="containsText" dxfId="23" priority="3" operator="containsText" text="P">
      <formula>NOT(ISERROR(SEARCH("P",K8)))</formula>
    </cfRule>
  </conditionalFormatting>
  <dataValidations count="1">
    <dataValidation type="list" allowBlank="1" showInputMessage="1" showErrorMessage="1" sqref="K8:N27 AK8:AO27 P8:U27 W8:AB27 AD8:AI27" xr:uid="{BF46C7E9-1851-4CCD-8346-9A369858B72E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53D150-6D10-443B-838B-72DD18E14777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06E3140-19BA-4C23-9918-BE32074BBE44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JULY!AV8:AY8</xm:f>
              <xm:sqref>BE8</xm:sqref>
            </x14:sparkline>
            <x14:sparkline>
              <xm:f>JULY!AV9:AY9</xm:f>
              <xm:sqref>BE9</xm:sqref>
            </x14:sparkline>
            <x14:sparkline>
              <xm:f>JULY!AV10:AY10</xm:f>
              <xm:sqref>BE10</xm:sqref>
            </x14:sparkline>
            <x14:sparkline>
              <xm:f>JULY!AV11:AY11</xm:f>
              <xm:sqref>BE11</xm:sqref>
            </x14:sparkline>
            <x14:sparkline>
              <xm:f>JULY!AV12:AY12</xm:f>
              <xm:sqref>BE12</xm:sqref>
            </x14:sparkline>
            <x14:sparkline>
              <xm:f>JULY!AV13:AY13</xm:f>
              <xm:sqref>BE13</xm:sqref>
            </x14:sparkline>
            <x14:sparkline>
              <xm:f>JULY!AV14:AY14</xm:f>
              <xm:sqref>BE14</xm:sqref>
            </x14:sparkline>
            <x14:sparkline>
              <xm:f>JULY!AV15:AY15</xm:f>
              <xm:sqref>BE15</xm:sqref>
            </x14:sparkline>
            <x14:sparkline>
              <xm:f>JULY!AV16:AY16</xm:f>
              <xm:sqref>BE16</xm:sqref>
            </x14:sparkline>
            <x14:sparkline>
              <xm:f>JULY!AV17:AY17</xm:f>
              <xm:sqref>BE17</xm:sqref>
            </x14:sparkline>
            <x14:sparkline>
              <xm:f>JULY!AV18:AY18</xm:f>
              <xm:sqref>BE18</xm:sqref>
            </x14:sparkline>
            <x14:sparkline>
              <xm:f>JULY!AV19:AY19</xm:f>
              <xm:sqref>BE19</xm:sqref>
            </x14:sparkline>
            <x14:sparkline>
              <xm:f>JULY!AV20:AY20</xm:f>
              <xm:sqref>BE20</xm:sqref>
            </x14:sparkline>
            <x14:sparkline>
              <xm:f>JULY!AV21:AY21</xm:f>
              <xm:sqref>BE21</xm:sqref>
            </x14:sparkline>
            <x14:sparkline>
              <xm:f>JULY!AV22:AY22</xm:f>
              <xm:sqref>BE22</xm:sqref>
            </x14:sparkline>
            <x14:sparkline>
              <xm:f>JULY!AV23:AY23</xm:f>
              <xm:sqref>BE23</xm:sqref>
            </x14:sparkline>
            <x14:sparkline>
              <xm:f>JULY!AV24:AY24</xm:f>
              <xm:sqref>BE24</xm:sqref>
            </x14:sparkline>
            <x14:sparkline>
              <xm:f>JULY!AV25:AY25</xm:f>
              <xm:sqref>BE25</xm:sqref>
            </x14:sparkline>
            <x14:sparkline>
              <xm:f>JULY!AV26:AY26</xm:f>
              <xm:sqref>BE26</xm:sqref>
            </x14:sparkline>
            <x14:sparkline>
              <xm:f>JULY!AV27:AY27</xm:f>
              <xm:sqref>BE27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8C52-B365-4C4D-803C-3556D088C6D0}">
  <dimension ref="A1:BM65"/>
  <sheetViews>
    <sheetView topLeftCell="A13" zoomScale="50" zoomScaleNormal="50" workbookViewId="0">
      <selection activeCell="G6" sqref="G6:AO27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50" width="15.140625" style="3" customWidth="1"/>
    <col min="51" max="51" width="16" style="3" customWidth="1"/>
    <col min="52" max="53" width="16.85546875" style="3" customWidth="1"/>
    <col min="54" max="54" width="23.42578125" style="3" customWidth="1"/>
    <col min="55" max="55" width="17.7109375" style="3" customWidth="1"/>
    <col min="56" max="56" width="18.5703125" style="3" customWidth="1"/>
    <col min="57" max="57" width="23.42578125" style="2" customWidth="1"/>
    <col min="58" max="16384" width="9.140625" style="2"/>
  </cols>
  <sheetData>
    <row r="1" spans="4:65" ht="30" customHeight="1">
      <c r="AP1" s="69"/>
      <c r="AQ1" s="70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  <c r="BF1" s="73"/>
      <c r="BG1" s="74"/>
      <c r="BH1" s="4"/>
      <c r="BI1" s="4"/>
      <c r="BJ1" s="4"/>
      <c r="BK1" s="4"/>
      <c r="BL1" s="4"/>
      <c r="BM1" s="4"/>
    </row>
    <row r="2" spans="4:65" ht="30" customHeight="1" thickBot="1">
      <c r="AP2" s="75"/>
      <c r="AQ2" s="13"/>
      <c r="BF2" s="14"/>
      <c r="BG2" s="76"/>
      <c r="BH2" s="4"/>
      <c r="BI2" s="4"/>
      <c r="BJ2" s="4"/>
      <c r="BK2" s="4"/>
      <c r="BL2" s="4"/>
      <c r="BM2" s="4"/>
    </row>
    <row r="3" spans="4:65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4"/>
      <c r="AP3" s="75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76"/>
      <c r="BH3" s="4"/>
      <c r="BI3" s="4"/>
      <c r="BJ3" s="4"/>
      <c r="BK3" s="4"/>
      <c r="BL3" s="4"/>
      <c r="BM3" s="4"/>
    </row>
    <row r="4" spans="4:65" ht="30" customHeight="1">
      <c r="D4" s="55"/>
      <c r="E4" s="56"/>
      <c r="F4" s="56"/>
      <c r="G4" s="57" t="s">
        <v>24</v>
      </c>
      <c r="H4" s="58"/>
      <c r="I4" s="59">
        <v>45870</v>
      </c>
      <c r="J4" s="60"/>
      <c r="K4" s="12">
        <f>(DATEDIF(I4,O4,"D"))+1</f>
        <v>31</v>
      </c>
      <c r="L4" s="50" t="str">
        <f>TEXT(I4,"MMMM")</f>
        <v>August</v>
      </c>
      <c r="M4" s="12" t="s">
        <v>28</v>
      </c>
      <c r="N4" s="61"/>
      <c r="O4" s="59">
        <f>EOMONTH(I4,0)</f>
        <v>45900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62"/>
      <c r="AP4" s="75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76"/>
      <c r="BH4" s="4"/>
      <c r="BI4" s="4"/>
      <c r="BJ4" s="4"/>
      <c r="BK4" s="4"/>
      <c r="BL4" s="4"/>
      <c r="BM4" s="4"/>
    </row>
    <row r="5" spans="4:65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62"/>
      <c r="AP5" s="75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76"/>
      <c r="BH5" s="4"/>
      <c r="BI5" s="4"/>
      <c r="BJ5" s="4"/>
      <c r="BK5" s="4"/>
      <c r="BL5" s="4"/>
      <c r="BM5" s="4"/>
    </row>
    <row r="6" spans="4:65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20" t="str">
        <f t="shared" si="0"/>
        <v>Fri</v>
      </c>
      <c r="AP6" s="75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76"/>
      <c r="BH6" s="4"/>
      <c r="BI6" s="4"/>
      <c r="BJ6" s="4"/>
      <c r="BK6" s="4"/>
      <c r="BL6" s="4"/>
      <c r="BM6" s="4"/>
    </row>
    <row r="7" spans="4:65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64">
        <f t="shared" si="1"/>
        <v>45676</v>
      </c>
      <c r="AD7" s="64">
        <f t="shared" si="1"/>
        <v>45677</v>
      </c>
      <c r="AE7" s="64">
        <f t="shared" si="1"/>
        <v>45678</v>
      </c>
      <c r="AF7" s="64">
        <f t="shared" si="1"/>
        <v>45679</v>
      </c>
      <c r="AG7" s="64">
        <f t="shared" si="1"/>
        <v>45680</v>
      </c>
      <c r="AH7" s="64">
        <f t="shared" si="1"/>
        <v>45681</v>
      </c>
      <c r="AI7" s="64">
        <f t="shared" si="1"/>
        <v>45682</v>
      </c>
      <c r="AJ7" s="64">
        <f t="shared" si="1"/>
        <v>45683</v>
      </c>
      <c r="AK7" s="64">
        <f t="shared" si="1"/>
        <v>45684</v>
      </c>
      <c r="AL7" s="64">
        <f t="shared" si="1"/>
        <v>45685</v>
      </c>
      <c r="AM7" s="64">
        <f t="shared" si="1"/>
        <v>45686</v>
      </c>
      <c r="AN7" s="64">
        <f t="shared" si="1"/>
        <v>45687</v>
      </c>
      <c r="AO7" s="23">
        <f t="shared" si="1"/>
        <v>45688</v>
      </c>
      <c r="AP7" s="77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8" t="s">
        <v>41</v>
      </c>
      <c r="BE7" s="138" t="s">
        <v>37</v>
      </c>
      <c r="BF7" s="14"/>
      <c r="BG7" s="76"/>
      <c r="BH7" s="4"/>
      <c r="BI7" s="4"/>
      <c r="BJ7" s="4"/>
      <c r="BK7" s="4"/>
      <c r="BL7" s="4"/>
      <c r="BM7" s="4"/>
    </row>
    <row r="8" spans="4:65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39</v>
      </c>
      <c r="L8" s="51" t="s">
        <v>38</v>
      </c>
      <c r="M8" s="51" t="s">
        <v>38</v>
      </c>
      <c r="N8" s="51" t="s">
        <v>38</v>
      </c>
      <c r="O8" s="51" t="str">
        <f t="shared" ref="O8:AJ23" si="2">IF(O$6="sun","Wo"," ")</f>
        <v>Wo</v>
      </c>
      <c r="P8" s="51" t="s">
        <v>39</v>
      </c>
      <c r="Q8" s="51" t="s">
        <v>38</v>
      </c>
      <c r="R8" s="51" t="s">
        <v>40</v>
      </c>
      <c r="S8" s="51" t="s">
        <v>38</v>
      </c>
      <c r="T8" s="51" t="s">
        <v>38</v>
      </c>
      <c r="U8" s="51" t="s">
        <v>38</v>
      </c>
      <c r="V8" s="51" t="str">
        <f t="shared" si="2"/>
        <v>Wo</v>
      </c>
      <c r="W8" s="51" t="s">
        <v>38</v>
      </c>
      <c r="X8" s="51" t="s">
        <v>39</v>
      </c>
      <c r="Y8" s="51" t="s">
        <v>38</v>
      </c>
      <c r="Z8" s="51" t="s">
        <v>40</v>
      </c>
      <c r="AA8" s="51" t="s">
        <v>38</v>
      </c>
      <c r="AB8" s="51" t="s">
        <v>38</v>
      </c>
      <c r="AC8" s="51" t="str">
        <f t="shared" si="2"/>
        <v>Wo</v>
      </c>
      <c r="AD8" s="65" t="s">
        <v>38</v>
      </c>
      <c r="AE8" s="65" t="s">
        <v>38</v>
      </c>
      <c r="AF8" s="65" t="s">
        <v>40</v>
      </c>
      <c r="AG8" s="65" t="s">
        <v>38</v>
      </c>
      <c r="AH8" s="65" t="s">
        <v>38</v>
      </c>
      <c r="AI8" s="65" t="s">
        <v>38</v>
      </c>
      <c r="AJ8" s="65" t="str">
        <f t="shared" si="2"/>
        <v>Wo</v>
      </c>
      <c r="AK8" s="65" t="s">
        <v>39</v>
      </c>
      <c r="AL8" s="65" t="s">
        <v>38</v>
      </c>
      <c r="AM8" s="65" t="s">
        <v>39</v>
      </c>
      <c r="AN8" s="65" t="s">
        <v>40</v>
      </c>
      <c r="AO8" s="16" t="s">
        <v>38</v>
      </c>
      <c r="AP8" s="77"/>
      <c r="AQ8" s="13"/>
      <c r="AR8" s="7">
        <v>1</v>
      </c>
      <c r="AS8" s="107">
        <v>1001</v>
      </c>
      <c r="AT8" s="107" t="str">
        <f t="shared" ref="AT8:AT27" si="3">$L$4</f>
        <v>August</v>
      </c>
      <c r="AU8" s="107" t="s">
        <v>1</v>
      </c>
      <c r="AV8" s="110">
        <f t="shared" ref="AV8:AV27" si="4">COUNTIF($K$8:$AO$8,"*P*")</f>
        <v>18</v>
      </c>
      <c r="AW8" s="110">
        <f t="shared" ref="AW8:AW27" si="5">COUNTIF($K$8:$AO$8,"*A*")</f>
        <v>5</v>
      </c>
      <c r="AX8" s="110">
        <f t="shared" ref="AX8:AX27" si="6">COUNTIF($K$8:$AO$8,"*L*")</f>
        <v>4</v>
      </c>
      <c r="AY8" s="110">
        <f>$J$8</f>
        <v>4</v>
      </c>
      <c r="AZ8" s="113">
        <f>$K$4</f>
        <v>31</v>
      </c>
      <c r="BA8" s="113">
        <f>(AZ8-AW8)</f>
        <v>26</v>
      </c>
      <c r="BB8" s="116">
        <v>15000</v>
      </c>
      <c r="BC8" s="119">
        <f>AugustReport[[#This Row],[SALARY]]/AugustReport[[#This Row],[PAID DAYS]]</f>
        <v>576.92307692307691</v>
      </c>
      <c r="BD8" s="121">
        <f>AugustReport[[#This Row],[SALARY]]-AugustReport[[#This Row],[ DEDUCTION]]</f>
        <v>14423.076923076924</v>
      </c>
      <c r="BE8" s="141"/>
      <c r="BF8" s="14"/>
      <c r="BG8" s="76"/>
      <c r="BH8" s="4"/>
      <c r="BI8" s="4"/>
      <c r="BJ8" s="4"/>
      <c r="BK8" s="4"/>
      <c r="BL8" s="4"/>
      <c r="BM8" s="4"/>
    </row>
    <row r="9" spans="4:65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7">COUNTIF($K$6:$AO$6,"sun")</f>
        <v>4</v>
      </c>
      <c r="K9" s="51" t="s">
        <v>38</v>
      </c>
      <c r="L9" s="51" t="s">
        <v>38</v>
      </c>
      <c r="M9" s="51" t="s">
        <v>38</v>
      </c>
      <c r="N9" s="51" t="s">
        <v>38</v>
      </c>
      <c r="O9" s="51" t="str">
        <f t="shared" si="2"/>
        <v>Wo</v>
      </c>
      <c r="P9" s="51" t="s">
        <v>38</v>
      </c>
      <c r="Q9" s="51" t="s">
        <v>38</v>
      </c>
      <c r="R9" s="51" t="s">
        <v>40</v>
      </c>
      <c r="S9" s="51" t="s">
        <v>38</v>
      </c>
      <c r="T9" s="51" t="s">
        <v>38</v>
      </c>
      <c r="U9" s="51" t="s">
        <v>38</v>
      </c>
      <c r="V9" s="51" t="str">
        <f t="shared" si="2"/>
        <v>Wo</v>
      </c>
      <c r="W9" s="51" t="s">
        <v>38</v>
      </c>
      <c r="X9" s="51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51" t="str">
        <f t="shared" si="2"/>
        <v>Wo</v>
      </c>
      <c r="AD9" s="65" t="s">
        <v>39</v>
      </c>
      <c r="AE9" s="65" t="s">
        <v>38</v>
      </c>
      <c r="AF9" s="65" t="s">
        <v>40</v>
      </c>
      <c r="AG9" s="65" t="s">
        <v>38</v>
      </c>
      <c r="AH9" s="65" t="s">
        <v>38</v>
      </c>
      <c r="AI9" s="65" t="s">
        <v>38</v>
      </c>
      <c r="AJ9" s="65" t="str">
        <f t="shared" si="2"/>
        <v>Wo</v>
      </c>
      <c r="AK9" s="65" t="s">
        <v>38</v>
      </c>
      <c r="AL9" s="65" t="s">
        <v>38</v>
      </c>
      <c r="AM9" s="65" t="s">
        <v>38</v>
      </c>
      <c r="AN9" s="65" t="s">
        <v>40</v>
      </c>
      <c r="AO9" s="16" t="s">
        <v>38</v>
      </c>
      <c r="AP9" s="77"/>
      <c r="AQ9" s="13"/>
      <c r="AR9" s="7">
        <v>2</v>
      </c>
      <c r="AS9" s="107">
        <v>1002</v>
      </c>
      <c r="AT9" s="107" t="str">
        <f t="shared" si="3"/>
        <v>August</v>
      </c>
      <c r="AU9" s="107" t="s">
        <v>2</v>
      </c>
      <c r="AV9" s="110">
        <f t="shared" si="4"/>
        <v>18</v>
      </c>
      <c r="AW9" s="110">
        <f t="shared" si="5"/>
        <v>5</v>
      </c>
      <c r="AX9" s="110">
        <f t="shared" si="6"/>
        <v>4</v>
      </c>
      <c r="AY9" s="110">
        <f t="shared" ref="AY9:AY27" si="8">$J$8</f>
        <v>4</v>
      </c>
      <c r="AZ9" s="113">
        <f t="shared" ref="AZ9:AZ27" si="9">$K$4</f>
        <v>31</v>
      </c>
      <c r="BA9" s="113">
        <f t="shared" ref="BA9:BA27" si="10">(AZ9-AW9)</f>
        <v>26</v>
      </c>
      <c r="BB9" s="116">
        <v>16000</v>
      </c>
      <c r="BC9" s="119">
        <f>AugustReport[[#This Row],[SALARY]]/AugustReport[[#This Row],[PAID DAYS]]</f>
        <v>615.38461538461536</v>
      </c>
      <c r="BD9" s="121">
        <f>AugustReport[[#This Row],[SALARY]]-AugustReport[[#This Row],[ DEDUCTION]]</f>
        <v>15384.615384615385</v>
      </c>
      <c r="BE9" s="141"/>
      <c r="BF9" s="14"/>
      <c r="BG9" s="76"/>
      <c r="BH9" s="4"/>
      <c r="BI9" s="4"/>
      <c r="BJ9" s="4"/>
      <c r="BK9" s="4"/>
      <c r="BL9" s="4"/>
      <c r="BM9" s="4"/>
    </row>
    <row r="10" spans="4:65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7"/>
        <v>4</v>
      </c>
      <c r="K10" s="51" t="s">
        <v>38</v>
      </c>
      <c r="L10" s="51" t="s">
        <v>39</v>
      </c>
      <c r="M10" s="51" t="s">
        <v>38</v>
      </c>
      <c r="N10" s="51" t="s">
        <v>38</v>
      </c>
      <c r="O10" s="51" t="str">
        <f t="shared" si="2"/>
        <v>Wo</v>
      </c>
      <c r="P10" s="51" t="s">
        <v>38</v>
      </c>
      <c r="Q10" s="51" t="s">
        <v>39</v>
      </c>
      <c r="R10" s="51" t="s">
        <v>40</v>
      </c>
      <c r="S10" s="51" t="s">
        <v>38</v>
      </c>
      <c r="T10" s="51" t="s">
        <v>38</v>
      </c>
      <c r="U10" s="51" t="s">
        <v>38</v>
      </c>
      <c r="V10" s="51" t="str">
        <f t="shared" si="2"/>
        <v>Wo</v>
      </c>
      <c r="W10" s="51" t="s">
        <v>38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51" t="str">
        <f t="shared" si="2"/>
        <v>Wo</v>
      </c>
      <c r="AD10" s="65" t="s">
        <v>38</v>
      </c>
      <c r="AE10" s="65" t="s">
        <v>39</v>
      </c>
      <c r="AF10" s="65" t="s">
        <v>40</v>
      </c>
      <c r="AG10" s="65" t="s">
        <v>38</v>
      </c>
      <c r="AH10" s="65" t="s">
        <v>38</v>
      </c>
      <c r="AI10" s="65" t="s">
        <v>38</v>
      </c>
      <c r="AJ10" s="65" t="str">
        <f t="shared" si="2"/>
        <v>Wo</v>
      </c>
      <c r="AK10" s="65" t="s">
        <v>38</v>
      </c>
      <c r="AL10" s="65" t="s">
        <v>38</v>
      </c>
      <c r="AM10" s="65" t="s">
        <v>38</v>
      </c>
      <c r="AN10" s="65" t="s">
        <v>40</v>
      </c>
      <c r="AO10" s="16" t="s">
        <v>38</v>
      </c>
      <c r="AP10" s="77"/>
      <c r="AQ10" s="13"/>
      <c r="AR10" s="7">
        <v>3</v>
      </c>
      <c r="AS10" s="107">
        <v>1003</v>
      </c>
      <c r="AT10" s="107" t="str">
        <f t="shared" si="3"/>
        <v>August</v>
      </c>
      <c r="AU10" s="107" t="s">
        <v>3</v>
      </c>
      <c r="AV10" s="110">
        <f t="shared" si="4"/>
        <v>18</v>
      </c>
      <c r="AW10" s="110">
        <f t="shared" si="5"/>
        <v>5</v>
      </c>
      <c r="AX10" s="110">
        <f t="shared" si="6"/>
        <v>4</v>
      </c>
      <c r="AY10" s="110">
        <f t="shared" si="8"/>
        <v>4</v>
      </c>
      <c r="AZ10" s="113">
        <f t="shared" si="9"/>
        <v>31</v>
      </c>
      <c r="BA10" s="113">
        <f t="shared" si="10"/>
        <v>26</v>
      </c>
      <c r="BB10" s="116">
        <v>18000</v>
      </c>
      <c r="BC10" s="119">
        <f>AugustReport[[#This Row],[SALARY]]/AugustReport[[#This Row],[PAID DAYS]]</f>
        <v>692.30769230769226</v>
      </c>
      <c r="BD10" s="121">
        <f>AugustReport[[#This Row],[SALARY]]-AugustReport[[#This Row],[ DEDUCTION]]</f>
        <v>17307.692307692309</v>
      </c>
      <c r="BE10" s="141"/>
      <c r="BF10" s="14"/>
      <c r="BG10" s="76"/>
      <c r="BH10" s="4"/>
      <c r="BI10" s="4"/>
      <c r="BJ10" s="4"/>
      <c r="BK10" s="4"/>
      <c r="BL10" s="4"/>
      <c r="BM10" s="4"/>
    </row>
    <row r="11" spans="4:65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7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2"/>
        <v>Wo</v>
      </c>
      <c r="P11" s="51" t="s">
        <v>38</v>
      </c>
      <c r="Q11" s="51" t="s">
        <v>38</v>
      </c>
      <c r="R11" s="51" t="s">
        <v>40</v>
      </c>
      <c r="S11" s="51" t="s">
        <v>38</v>
      </c>
      <c r="T11" s="51" t="s">
        <v>38</v>
      </c>
      <c r="U11" s="51" t="s">
        <v>38</v>
      </c>
      <c r="V11" s="51" t="str">
        <f t="shared" si="2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38</v>
      </c>
      <c r="AB11" s="51" t="s">
        <v>38</v>
      </c>
      <c r="AC11" s="51" t="str">
        <f t="shared" si="2"/>
        <v>Wo</v>
      </c>
      <c r="AD11" s="65" t="s">
        <v>38</v>
      </c>
      <c r="AE11" s="65" t="s">
        <v>38</v>
      </c>
      <c r="AF11" s="65" t="s">
        <v>40</v>
      </c>
      <c r="AG11" s="65" t="s">
        <v>38</v>
      </c>
      <c r="AH11" s="65" t="s">
        <v>38</v>
      </c>
      <c r="AI11" s="65" t="s">
        <v>38</v>
      </c>
      <c r="AJ11" s="65" t="str">
        <f t="shared" si="2"/>
        <v>Wo</v>
      </c>
      <c r="AK11" s="65" t="s">
        <v>38</v>
      </c>
      <c r="AL11" s="65" t="s">
        <v>38</v>
      </c>
      <c r="AM11" s="65" t="s">
        <v>38</v>
      </c>
      <c r="AN11" s="65" t="s">
        <v>40</v>
      </c>
      <c r="AO11" s="16" t="s">
        <v>38</v>
      </c>
      <c r="AP11" s="77"/>
      <c r="AQ11" s="13"/>
      <c r="AR11" s="7">
        <v>4</v>
      </c>
      <c r="AS11" s="107">
        <v>1004</v>
      </c>
      <c r="AT11" s="107" t="str">
        <f t="shared" si="3"/>
        <v>August</v>
      </c>
      <c r="AU11" s="107" t="s">
        <v>4</v>
      </c>
      <c r="AV11" s="110">
        <f t="shared" si="4"/>
        <v>18</v>
      </c>
      <c r="AW11" s="110">
        <f t="shared" si="5"/>
        <v>5</v>
      </c>
      <c r="AX11" s="110">
        <f t="shared" si="6"/>
        <v>4</v>
      </c>
      <c r="AY11" s="110">
        <f t="shared" si="8"/>
        <v>4</v>
      </c>
      <c r="AZ11" s="113">
        <f t="shared" si="9"/>
        <v>31</v>
      </c>
      <c r="BA11" s="113">
        <f t="shared" si="10"/>
        <v>26</v>
      </c>
      <c r="BB11" s="116">
        <v>21000</v>
      </c>
      <c r="BC11" s="119">
        <f>AugustReport[[#This Row],[SALARY]]/AugustReport[[#This Row],[PAID DAYS]]</f>
        <v>807.69230769230774</v>
      </c>
      <c r="BD11" s="121">
        <f>AugustReport[[#This Row],[SALARY]]-AugustReport[[#This Row],[ DEDUCTION]]</f>
        <v>20192.307692307691</v>
      </c>
      <c r="BE11" s="141"/>
      <c r="BF11" s="14"/>
      <c r="BG11" s="76"/>
      <c r="BH11" s="4"/>
      <c r="BI11" s="4"/>
      <c r="BJ11" s="4"/>
      <c r="BK11" s="4"/>
      <c r="BL11" s="4"/>
      <c r="BM11" s="4"/>
    </row>
    <row r="12" spans="4:65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7"/>
        <v>4</v>
      </c>
      <c r="K12" s="51" t="s">
        <v>38</v>
      </c>
      <c r="L12" s="51" t="s">
        <v>38</v>
      </c>
      <c r="M12" s="51" t="s">
        <v>38</v>
      </c>
      <c r="N12" s="51" t="s">
        <v>38</v>
      </c>
      <c r="O12" s="51" t="str">
        <f t="shared" si="2"/>
        <v>Wo</v>
      </c>
      <c r="P12" s="51" t="s">
        <v>38</v>
      </c>
      <c r="Q12" s="51" t="s">
        <v>38</v>
      </c>
      <c r="R12" s="51" t="s">
        <v>40</v>
      </c>
      <c r="S12" s="51" t="s">
        <v>39</v>
      </c>
      <c r="T12" s="51" t="s">
        <v>38</v>
      </c>
      <c r="U12" s="51" t="s">
        <v>38</v>
      </c>
      <c r="V12" s="51" t="str">
        <f t="shared" si="2"/>
        <v>Wo</v>
      </c>
      <c r="W12" s="51" t="s">
        <v>38</v>
      </c>
      <c r="X12" s="51" t="s">
        <v>38</v>
      </c>
      <c r="Y12" s="51" t="s">
        <v>38</v>
      </c>
      <c r="Z12" s="51" t="s">
        <v>40</v>
      </c>
      <c r="AA12" s="51" t="s">
        <v>38</v>
      </c>
      <c r="AB12" s="51" t="s">
        <v>38</v>
      </c>
      <c r="AC12" s="51" t="str">
        <f t="shared" si="2"/>
        <v>Wo</v>
      </c>
      <c r="AD12" s="65" t="s">
        <v>38</v>
      </c>
      <c r="AE12" s="65" t="s">
        <v>38</v>
      </c>
      <c r="AF12" s="65" t="s">
        <v>40</v>
      </c>
      <c r="AG12" s="65" t="s">
        <v>38</v>
      </c>
      <c r="AH12" s="65" t="s">
        <v>38</v>
      </c>
      <c r="AI12" s="65" t="s">
        <v>38</v>
      </c>
      <c r="AJ12" s="65" t="str">
        <f t="shared" si="2"/>
        <v>Wo</v>
      </c>
      <c r="AK12" s="65" t="s">
        <v>38</v>
      </c>
      <c r="AL12" s="65" t="s">
        <v>38</v>
      </c>
      <c r="AM12" s="65" t="s">
        <v>38</v>
      </c>
      <c r="AN12" s="65" t="s">
        <v>40</v>
      </c>
      <c r="AO12" s="16" t="s">
        <v>38</v>
      </c>
      <c r="AP12" s="77"/>
      <c r="AQ12" s="13"/>
      <c r="AR12" s="7">
        <v>5</v>
      </c>
      <c r="AS12" s="107">
        <v>1005</v>
      </c>
      <c r="AT12" s="107" t="str">
        <f t="shared" si="3"/>
        <v>August</v>
      </c>
      <c r="AU12" s="107" t="s">
        <v>5</v>
      </c>
      <c r="AV12" s="110">
        <f t="shared" si="4"/>
        <v>18</v>
      </c>
      <c r="AW12" s="110">
        <f t="shared" si="5"/>
        <v>5</v>
      </c>
      <c r="AX12" s="110">
        <f t="shared" si="6"/>
        <v>4</v>
      </c>
      <c r="AY12" s="110">
        <f t="shared" si="8"/>
        <v>4</v>
      </c>
      <c r="AZ12" s="113">
        <f t="shared" si="9"/>
        <v>31</v>
      </c>
      <c r="BA12" s="113">
        <f t="shared" si="10"/>
        <v>26</v>
      </c>
      <c r="BB12" s="116">
        <v>30000</v>
      </c>
      <c r="BC12" s="119">
        <f>AugustReport[[#This Row],[SALARY]]/AugustReport[[#This Row],[PAID DAYS]]</f>
        <v>1153.8461538461538</v>
      </c>
      <c r="BD12" s="121">
        <f>AugustReport[[#This Row],[SALARY]]-AugustReport[[#This Row],[ DEDUCTION]]</f>
        <v>28846.153846153848</v>
      </c>
      <c r="BE12" s="141"/>
      <c r="BF12" s="14"/>
      <c r="BG12" s="76"/>
      <c r="BH12" s="4"/>
      <c r="BI12" s="4"/>
      <c r="BJ12" s="4"/>
      <c r="BK12" s="4"/>
      <c r="BL12" s="4"/>
      <c r="BM12" s="4"/>
    </row>
    <row r="13" spans="4:65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7"/>
        <v>4</v>
      </c>
      <c r="K13" s="51" t="s">
        <v>38</v>
      </c>
      <c r="L13" s="51" t="s">
        <v>38</v>
      </c>
      <c r="M13" s="51" t="s">
        <v>38</v>
      </c>
      <c r="N13" s="51" t="s">
        <v>38</v>
      </c>
      <c r="O13" s="51" t="str">
        <f t="shared" si="2"/>
        <v>Wo</v>
      </c>
      <c r="P13" s="51" t="s">
        <v>38</v>
      </c>
      <c r="Q13" s="51" t="s">
        <v>38</v>
      </c>
      <c r="R13" s="51" t="s">
        <v>40</v>
      </c>
      <c r="S13" s="51" t="s">
        <v>38</v>
      </c>
      <c r="T13" s="51" t="s">
        <v>38</v>
      </c>
      <c r="U13" s="51" t="s">
        <v>38</v>
      </c>
      <c r="V13" s="51" t="str">
        <f t="shared" si="2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38</v>
      </c>
      <c r="AC13" s="51" t="str">
        <f t="shared" si="2"/>
        <v>Wo</v>
      </c>
      <c r="AD13" s="65" t="s">
        <v>38</v>
      </c>
      <c r="AE13" s="65" t="s">
        <v>38</v>
      </c>
      <c r="AF13" s="65" t="s">
        <v>40</v>
      </c>
      <c r="AG13" s="65" t="s">
        <v>38</v>
      </c>
      <c r="AH13" s="65" t="s">
        <v>38</v>
      </c>
      <c r="AI13" s="65" t="s">
        <v>38</v>
      </c>
      <c r="AJ13" s="65" t="str">
        <f t="shared" si="2"/>
        <v>Wo</v>
      </c>
      <c r="AK13" s="65" t="s">
        <v>39</v>
      </c>
      <c r="AL13" s="65" t="s">
        <v>38</v>
      </c>
      <c r="AM13" s="65" t="s">
        <v>39</v>
      </c>
      <c r="AN13" s="65" t="s">
        <v>40</v>
      </c>
      <c r="AO13" s="16" t="s">
        <v>38</v>
      </c>
      <c r="AP13" s="77"/>
      <c r="AQ13" s="13"/>
      <c r="AR13" s="7">
        <v>6</v>
      </c>
      <c r="AS13" s="107">
        <v>1006</v>
      </c>
      <c r="AT13" s="107" t="str">
        <f t="shared" si="3"/>
        <v>August</v>
      </c>
      <c r="AU13" s="107" t="s">
        <v>6</v>
      </c>
      <c r="AV13" s="110">
        <f t="shared" si="4"/>
        <v>18</v>
      </c>
      <c r="AW13" s="110">
        <f t="shared" si="5"/>
        <v>5</v>
      </c>
      <c r="AX13" s="110">
        <f t="shared" si="6"/>
        <v>4</v>
      </c>
      <c r="AY13" s="110">
        <f t="shared" si="8"/>
        <v>4</v>
      </c>
      <c r="AZ13" s="113">
        <f t="shared" si="9"/>
        <v>31</v>
      </c>
      <c r="BA13" s="113">
        <f t="shared" si="10"/>
        <v>26</v>
      </c>
      <c r="BB13" s="116">
        <v>25000</v>
      </c>
      <c r="BC13" s="119">
        <f>AugustReport[[#This Row],[SALARY]]/AugustReport[[#This Row],[PAID DAYS]]</f>
        <v>961.53846153846155</v>
      </c>
      <c r="BD13" s="121">
        <f>AugustReport[[#This Row],[SALARY]]-AugustReport[[#This Row],[ DEDUCTION]]</f>
        <v>24038.461538461539</v>
      </c>
      <c r="BE13" s="141"/>
      <c r="BF13" s="14"/>
      <c r="BG13" s="76"/>
      <c r="BH13" s="4"/>
      <c r="BI13" s="4"/>
      <c r="BJ13" s="4"/>
      <c r="BK13" s="4"/>
      <c r="BL13" s="4"/>
      <c r="BM13" s="4"/>
    </row>
    <row r="14" spans="4:65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7"/>
        <v>4</v>
      </c>
      <c r="K14" s="51" t="s">
        <v>38</v>
      </c>
      <c r="L14" s="51" t="s">
        <v>38</v>
      </c>
      <c r="M14" s="51" t="s">
        <v>38</v>
      </c>
      <c r="N14" s="51" t="s">
        <v>38</v>
      </c>
      <c r="O14" s="51" t="str">
        <f t="shared" si="2"/>
        <v>Wo</v>
      </c>
      <c r="P14" s="51" t="s">
        <v>38</v>
      </c>
      <c r="Q14" s="51" t="s">
        <v>38</v>
      </c>
      <c r="R14" s="51" t="s">
        <v>40</v>
      </c>
      <c r="S14" s="51" t="s">
        <v>38</v>
      </c>
      <c r="T14" s="51" t="s">
        <v>38</v>
      </c>
      <c r="U14" s="51" t="s">
        <v>38</v>
      </c>
      <c r="V14" s="51" t="str">
        <f t="shared" si="2"/>
        <v>Wo</v>
      </c>
      <c r="W14" s="51" t="s">
        <v>38</v>
      </c>
      <c r="X14" s="51" t="s">
        <v>39</v>
      </c>
      <c r="Y14" s="51" t="s">
        <v>38</v>
      </c>
      <c r="Z14" s="51" t="s">
        <v>40</v>
      </c>
      <c r="AA14" s="51" t="s">
        <v>38</v>
      </c>
      <c r="AB14" s="51" t="s">
        <v>38</v>
      </c>
      <c r="AC14" s="51" t="str">
        <f t="shared" si="2"/>
        <v>Wo</v>
      </c>
      <c r="AD14" s="65" t="s">
        <v>38</v>
      </c>
      <c r="AE14" s="65" t="s">
        <v>38</v>
      </c>
      <c r="AF14" s="65" t="s">
        <v>40</v>
      </c>
      <c r="AG14" s="65" t="s">
        <v>38</v>
      </c>
      <c r="AH14" s="65" t="s">
        <v>38</v>
      </c>
      <c r="AI14" s="65" t="s">
        <v>38</v>
      </c>
      <c r="AJ14" s="65" t="str">
        <f t="shared" si="2"/>
        <v>Wo</v>
      </c>
      <c r="AK14" s="65" t="s">
        <v>38</v>
      </c>
      <c r="AL14" s="65" t="s">
        <v>38</v>
      </c>
      <c r="AM14" s="65" t="s">
        <v>38</v>
      </c>
      <c r="AN14" s="65" t="s">
        <v>40</v>
      </c>
      <c r="AO14" s="16" t="s">
        <v>38</v>
      </c>
      <c r="AP14" s="77"/>
      <c r="AQ14" s="13"/>
      <c r="AR14" s="7">
        <v>7</v>
      </c>
      <c r="AS14" s="107">
        <v>1007</v>
      </c>
      <c r="AT14" s="107" t="str">
        <f t="shared" si="3"/>
        <v>August</v>
      </c>
      <c r="AU14" s="107" t="s">
        <v>7</v>
      </c>
      <c r="AV14" s="110">
        <f t="shared" si="4"/>
        <v>18</v>
      </c>
      <c r="AW14" s="110">
        <f t="shared" si="5"/>
        <v>5</v>
      </c>
      <c r="AX14" s="110">
        <f t="shared" si="6"/>
        <v>4</v>
      </c>
      <c r="AY14" s="110">
        <f t="shared" si="8"/>
        <v>4</v>
      </c>
      <c r="AZ14" s="113">
        <f t="shared" si="9"/>
        <v>31</v>
      </c>
      <c r="BA14" s="113">
        <f t="shared" si="10"/>
        <v>26</v>
      </c>
      <c r="BB14" s="116">
        <v>30000</v>
      </c>
      <c r="BC14" s="119">
        <f>AugustReport[[#This Row],[SALARY]]/AugustReport[[#This Row],[PAID DAYS]]</f>
        <v>1153.8461538461538</v>
      </c>
      <c r="BD14" s="121">
        <f>AugustReport[[#This Row],[SALARY]]-AugustReport[[#This Row],[ DEDUCTION]]</f>
        <v>28846.153846153848</v>
      </c>
      <c r="BE14" s="141"/>
      <c r="BF14" s="14"/>
      <c r="BG14" s="76"/>
      <c r="BH14" s="4"/>
      <c r="BI14" s="4"/>
      <c r="BJ14" s="4"/>
      <c r="BK14" s="4"/>
      <c r="BL14" s="4"/>
      <c r="BM14" s="4"/>
    </row>
    <row r="15" spans="4:65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7"/>
        <v>4</v>
      </c>
      <c r="K15" s="51" t="s">
        <v>38</v>
      </c>
      <c r="L15" s="51" t="s">
        <v>38</v>
      </c>
      <c r="M15" s="51" t="s">
        <v>39</v>
      </c>
      <c r="N15" s="51" t="s">
        <v>38</v>
      </c>
      <c r="O15" s="51" t="str">
        <f t="shared" si="2"/>
        <v>Wo</v>
      </c>
      <c r="P15" s="51" t="s">
        <v>38</v>
      </c>
      <c r="Q15" s="51" t="s">
        <v>38</v>
      </c>
      <c r="R15" s="51" t="s">
        <v>40</v>
      </c>
      <c r="S15" s="51" t="s">
        <v>38</v>
      </c>
      <c r="T15" s="51" t="s">
        <v>39</v>
      </c>
      <c r="U15" s="51" t="s">
        <v>38</v>
      </c>
      <c r="V15" s="51" t="str">
        <f t="shared" si="2"/>
        <v>Wo</v>
      </c>
      <c r="W15" s="51" t="s">
        <v>38</v>
      </c>
      <c r="X15" s="51" t="s">
        <v>38</v>
      </c>
      <c r="Y15" s="51" t="s">
        <v>38</v>
      </c>
      <c r="Z15" s="51" t="s">
        <v>40</v>
      </c>
      <c r="AA15" s="51" t="s">
        <v>38</v>
      </c>
      <c r="AB15" s="51" t="s">
        <v>38</v>
      </c>
      <c r="AC15" s="51" t="str">
        <f t="shared" si="2"/>
        <v>Wo</v>
      </c>
      <c r="AD15" s="65" t="s">
        <v>38</v>
      </c>
      <c r="AE15" s="65" t="s">
        <v>38</v>
      </c>
      <c r="AF15" s="65" t="s">
        <v>40</v>
      </c>
      <c r="AG15" s="65" t="s">
        <v>38</v>
      </c>
      <c r="AH15" s="65" t="s">
        <v>38</v>
      </c>
      <c r="AI15" s="65" t="s">
        <v>38</v>
      </c>
      <c r="AJ15" s="65" t="str">
        <f t="shared" si="2"/>
        <v>Wo</v>
      </c>
      <c r="AK15" s="65" t="s">
        <v>38</v>
      </c>
      <c r="AL15" s="65" t="s">
        <v>38</v>
      </c>
      <c r="AM15" s="65" t="s">
        <v>38</v>
      </c>
      <c r="AN15" s="65" t="s">
        <v>40</v>
      </c>
      <c r="AO15" s="16" t="s">
        <v>38</v>
      </c>
      <c r="AP15" s="77"/>
      <c r="AQ15" s="13"/>
      <c r="AR15" s="7">
        <v>8</v>
      </c>
      <c r="AS15" s="107">
        <v>1008</v>
      </c>
      <c r="AT15" s="107" t="str">
        <f t="shared" si="3"/>
        <v>August</v>
      </c>
      <c r="AU15" s="107" t="s">
        <v>8</v>
      </c>
      <c r="AV15" s="110">
        <f t="shared" si="4"/>
        <v>18</v>
      </c>
      <c r="AW15" s="110">
        <f t="shared" si="5"/>
        <v>5</v>
      </c>
      <c r="AX15" s="110">
        <f t="shared" si="6"/>
        <v>4</v>
      </c>
      <c r="AY15" s="110">
        <f t="shared" si="8"/>
        <v>4</v>
      </c>
      <c r="AZ15" s="113">
        <f t="shared" si="9"/>
        <v>31</v>
      </c>
      <c r="BA15" s="113">
        <f t="shared" si="10"/>
        <v>26</v>
      </c>
      <c r="BB15" s="116">
        <v>35000</v>
      </c>
      <c r="BC15" s="119">
        <f>AugustReport[[#This Row],[SALARY]]/AugustReport[[#This Row],[PAID DAYS]]</f>
        <v>1346.1538461538462</v>
      </c>
      <c r="BD15" s="121">
        <f>AugustReport[[#This Row],[SALARY]]-AugustReport[[#This Row],[ DEDUCTION]]</f>
        <v>33653.846153846156</v>
      </c>
      <c r="BE15" s="141"/>
      <c r="BF15" s="14"/>
      <c r="BG15" s="76"/>
      <c r="BH15" s="4"/>
      <c r="BI15" s="4"/>
      <c r="BJ15" s="4"/>
      <c r="BK15" s="4"/>
      <c r="BL15" s="4"/>
      <c r="BM15" s="4"/>
    </row>
    <row r="16" spans="4:65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7"/>
        <v>4</v>
      </c>
      <c r="K16" s="51" t="s">
        <v>38</v>
      </c>
      <c r="L16" s="51" t="s">
        <v>38</v>
      </c>
      <c r="M16" s="51" t="s">
        <v>38</v>
      </c>
      <c r="N16" s="51" t="s">
        <v>38</v>
      </c>
      <c r="O16" s="51" t="str">
        <f t="shared" si="2"/>
        <v>Wo</v>
      </c>
      <c r="P16" s="51" t="s">
        <v>38</v>
      </c>
      <c r="Q16" s="51" t="s">
        <v>38</v>
      </c>
      <c r="R16" s="51" t="s">
        <v>40</v>
      </c>
      <c r="S16" s="51" t="s">
        <v>38</v>
      </c>
      <c r="T16" s="51" t="s">
        <v>38</v>
      </c>
      <c r="U16" s="51" t="s">
        <v>38</v>
      </c>
      <c r="V16" s="51" t="str">
        <f t="shared" si="2"/>
        <v>Wo</v>
      </c>
      <c r="W16" s="51" t="s">
        <v>38</v>
      </c>
      <c r="X16" s="51" t="s">
        <v>38</v>
      </c>
      <c r="Y16" s="51" t="s">
        <v>38</v>
      </c>
      <c r="Z16" s="51" t="s">
        <v>40</v>
      </c>
      <c r="AA16" s="51" t="s">
        <v>38</v>
      </c>
      <c r="AB16" s="51" t="s">
        <v>38</v>
      </c>
      <c r="AC16" s="51" t="str">
        <f t="shared" si="2"/>
        <v>Wo</v>
      </c>
      <c r="AD16" s="65" t="s">
        <v>38</v>
      </c>
      <c r="AE16" s="65" t="s">
        <v>38</v>
      </c>
      <c r="AF16" s="65" t="s">
        <v>40</v>
      </c>
      <c r="AG16" s="65" t="s">
        <v>38</v>
      </c>
      <c r="AH16" s="65" t="s">
        <v>38</v>
      </c>
      <c r="AI16" s="65" t="s">
        <v>38</v>
      </c>
      <c r="AJ16" s="65" t="str">
        <f t="shared" si="2"/>
        <v>Wo</v>
      </c>
      <c r="AK16" s="65" t="s">
        <v>39</v>
      </c>
      <c r="AL16" s="65" t="s">
        <v>38</v>
      </c>
      <c r="AM16" s="65" t="s">
        <v>39</v>
      </c>
      <c r="AN16" s="65" t="s">
        <v>40</v>
      </c>
      <c r="AO16" s="16" t="s">
        <v>38</v>
      </c>
      <c r="AP16" s="77"/>
      <c r="AQ16" s="13"/>
      <c r="AR16" s="7">
        <v>9</v>
      </c>
      <c r="AS16" s="107">
        <v>1009</v>
      </c>
      <c r="AT16" s="107" t="str">
        <f t="shared" si="3"/>
        <v>August</v>
      </c>
      <c r="AU16" s="107" t="s">
        <v>9</v>
      </c>
      <c r="AV16" s="110">
        <f t="shared" si="4"/>
        <v>18</v>
      </c>
      <c r="AW16" s="110">
        <f t="shared" si="5"/>
        <v>5</v>
      </c>
      <c r="AX16" s="110">
        <f t="shared" si="6"/>
        <v>4</v>
      </c>
      <c r="AY16" s="110">
        <f t="shared" si="8"/>
        <v>4</v>
      </c>
      <c r="AZ16" s="113">
        <f t="shared" si="9"/>
        <v>31</v>
      </c>
      <c r="BA16" s="113">
        <f t="shared" si="10"/>
        <v>26</v>
      </c>
      <c r="BB16" s="116">
        <v>18000</v>
      </c>
      <c r="BC16" s="119">
        <f>AugustReport[[#This Row],[SALARY]]/AugustReport[[#This Row],[PAID DAYS]]</f>
        <v>692.30769230769226</v>
      </c>
      <c r="BD16" s="121">
        <f>AugustReport[[#This Row],[SALARY]]-AugustReport[[#This Row],[ DEDUCTION]]</f>
        <v>17307.692307692309</v>
      </c>
      <c r="BE16" s="141"/>
      <c r="BF16" s="14"/>
      <c r="BG16" s="76"/>
      <c r="BH16" s="4"/>
      <c r="BI16" s="4"/>
      <c r="BJ16" s="4"/>
      <c r="BK16" s="4"/>
      <c r="BL16" s="4"/>
      <c r="BM16" s="4"/>
    </row>
    <row r="17" spans="4:65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7"/>
        <v>4</v>
      </c>
      <c r="K17" s="51" t="s">
        <v>38</v>
      </c>
      <c r="L17" s="51" t="s">
        <v>38</v>
      </c>
      <c r="M17" s="51" t="s">
        <v>38</v>
      </c>
      <c r="N17" s="51" t="s">
        <v>38</v>
      </c>
      <c r="O17" s="51" t="str">
        <f t="shared" si="2"/>
        <v>Wo</v>
      </c>
      <c r="P17" s="51" t="s">
        <v>38</v>
      </c>
      <c r="Q17" s="51" t="s">
        <v>38</v>
      </c>
      <c r="R17" s="51" t="s">
        <v>40</v>
      </c>
      <c r="S17" s="51" t="s">
        <v>38</v>
      </c>
      <c r="T17" s="51" t="s">
        <v>38</v>
      </c>
      <c r="U17" s="51" t="s">
        <v>38</v>
      </c>
      <c r="V17" s="51" t="str">
        <f t="shared" si="2"/>
        <v>Wo</v>
      </c>
      <c r="W17" s="51" t="s">
        <v>38</v>
      </c>
      <c r="X17" s="51" t="s">
        <v>38</v>
      </c>
      <c r="Y17" s="51" t="s">
        <v>38</v>
      </c>
      <c r="Z17" s="51" t="s">
        <v>40</v>
      </c>
      <c r="AA17" s="51" t="s">
        <v>38</v>
      </c>
      <c r="AB17" s="51" t="s">
        <v>38</v>
      </c>
      <c r="AC17" s="51" t="str">
        <f t="shared" si="2"/>
        <v>Wo</v>
      </c>
      <c r="AD17" s="65" t="s">
        <v>38</v>
      </c>
      <c r="AE17" s="65" t="s">
        <v>38</v>
      </c>
      <c r="AF17" s="65" t="s">
        <v>40</v>
      </c>
      <c r="AG17" s="65" t="s">
        <v>38</v>
      </c>
      <c r="AH17" s="65" t="s">
        <v>38</v>
      </c>
      <c r="AI17" s="65" t="s">
        <v>38</v>
      </c>
      <c r="AJ17" s="65" t="str">
        <f t="shared" si="2"/>
        <v>Wo</v>
      </c>
      <c r="AK17" s="65" t="s">
        <v>38</v>
      </c>
      <c r="AL17" s="65" t="s">
        <v>38</v>
      </c>
      <c r="AM17" s="65" t="s">
        <v>38</v>
      </c>
      <c r="AN17" s="65" t="s">
        <v>40</v>
      </c>
      <c r="AO17" s="16" t="s">
        <v>38</v>
      </c>
      <c r="AP17" s="77"/>
      <c r="AQ17" s="13"/>
      <c r="AR17" s="7">
        <v>10</v>
      </c>
      <c r="AS17" s="107">
        <v>1010</v>
      </c>
      <c r="AT17" s="107" t="str">
        <f t="shared" si="3"/>
        <v>August</v>
      </c>
      <c r="AU17" s="107" t="s">
        <v>10</v>
      </c>
      <c r="AV17" s="110">
        <f t="shared" si="4"/>
        <v>18</v>
      </c>
      <c r="AW17" s="110">
        <f t="shared" si="5"/>
        <v>5</v>
      </c>
      <c r="AX17" s="110">
        <f t="shared" si="6"/>
        <v>4</v>
      </c>
      <c r="AY17" s="110">
        <f t="shared" si="8"/>
        <v>4</v>
      </c>
      <c r="AZ17" s="113">
        <f t="shared" si="9"/>
        <v>31</v>
      </c>
      <c r="BA17" s="113">
        <f t="shared" si="10"/>
        <v>26</v>
      </c>
      <c r="BB17" s="116">
        <v>45000</v>
      </c>
      <c r="BC17" s="119">
        <f>AugustReport[[#This Row],[SALARY]]/AugustReport[[#This Row],[PAID DAYS]]</f>
        <v>1730.7692307692307</v>
      </c>
      <c r="BD17" s="121">
        <f>AugustReport[[#This Row],[SALARY]]-AugustReport[[#This Row],[ DEDUCTION]]</f>
        <v>43269.230769230766</v>
      </c>
      <c r="BE17" s="141"/>
      <c r="BF17" s="14"/>
      <c r="BG17" s="76"/>
      <c r="BH17" s="4"/>
      <c r="BI17" s="4"/>
      <c r="BJ17" s="4"/>
      <c r="BK17" s="4"/>
      <c r="BL17" s="4"/>
      <c r="BM17" s="4"/>
    </row>
    <row r="18" spans="4:65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7"/>
        <v>4</v>
      </c>
      <c r="K18" s="51" t="s">
        <v>38</v>
      </c>
      <c r="L18" s="51" t="s">
        <v>38</v>
      </c>
      <c r="M18" s="51" t="s">
        <v>38</v>
      </c>
      <c r="N18" s="51" t="s">
        <v>38</v>
      </c>
      <c r="O18" s="51" t="str">
        <f t="shared" si="2"/>
        <v>Wo</v>
      </c>
      <c r="P18" s="51" t="s">
        <v>38</v>
      </c>
      <c r="Q18" s="51" t="s">
        <v>38</v>
      </c>
      <c r="R18" s="51" t="s">
        <v>40</v>
      </c>
      <c r="S18" s="51" t="s">
        <v>38</v>
      </c>
      <c r="T18" s="51" t="s">
        <v>38</v>
      </c>
      <c r="U18" s="51" t="s">
        <v>38</v>
      </c>
      <c r="V18" s="51" t="str">
        <f t="shared" si="2"/>
        <v>Wo</v>
      </c>
      <c r="W18" s="51" t="s">
        <v>38</v>
      </c>
      <c r="X18" s="51" t="s">
        <v>38</v>
      </c>
      <c r="Y18" s="51" t="s">
        <v>38</v>
      </c>
      <c r="Z18" s="51" t="s">
        <v>40</v>
      </c>
      <c r="AA18" s="51" t="s">
        <v>38</v>
      </c>
      <c r="AB18" s="51" t="s">
        <v>38</v>
      </c>
      <c r="AC18" s="51" t="str">
        <f t="shared" si="2"/>
        <v>Wo</v>
      </c>
      <c r="AD18" s="65" t="s">
        <v>39</v>
      </c>
      <c r="AE18" s="65" t="s">
        <v>38</v>
      </c>
      <c r="AF18" s="65" t="s">
        <v>40</v>
      </c>
      <c r="AG18" s="65" t="s">
        <v>38</v>
      </c>
      <c r="AH18" s="65" t="s">
        <v>38</v>
      </c>
      <c r="AI18" s="65" t="s">
        <v>38</v>
      </c>
      <c r="AJ18" s="65" t="str">
        <f t="shared" si="2"/>
        <v>Wo</v>
      </c>
      <c r="AK18" s="65" t="s">
        <v>38</v>
      </c>
      <c r="AL18" s="65" t="s">
        <v>38</v>
      </c>
      <c r="AM18" s="65" t="s">
        <v>38</v>
      </c>
      <c r="AN18" s="65" t="s">
        <v>40</v>
      </c>
      <c r="AO18" s="16" t="s">
        <v>38</v>
      </c>
      <c r="AP18" s="77"/>
      <c r="AQ18" s="13"/>
      <c r="AR18" s="7">
        <v>11</v>
      </c>
      <c r="AS18" s="107">
        <v>1011</v>
      </c>
      <c r="AT18" s="107" t="str">
        <f t="shared" si="3"/>
        <v>August</v>
      </c>
      <c r="AU18" s="107" t="s">
        <v>11</v>
      </c>
      <c r="AV18" s="110">
        <f t="shared" si="4"/>
        <v>18</v>
      </c>
      <c r="AW18" s="110">
        <f t="shared" si="5"/>
        <v>5</v>
      </c>
      <c r="AX18" s="110">
        <f t="shared" si="6"/>
        <v>4</v>
      </c>
      <c r="AY18" s="110">
        <f t="shared" si="8"/>
        <v>4</v>
      </c>
      <c r="AZ18" s="113">
        <f t="shared" si="9"/>
        <v>31</v>
      </c>
      <c r="BA18" s="113">
        <f t="shared" si="10"/>
        <v>26</v>
      </c>
      <c r="BB18" s="116">
        <v>55000</v>
      </c>
      <c r="BC18" s="119">
        <f>AugustReport[[#This Row],[SALARY]]/AugustReport[[#This Row],[PAID DAYS]]</f>
        <v>2115.3846153846152</v>
      </c>
      <c r="BD18" s="121">
        <f>AugustReport[[#This Row],[SALARY]]-AugustReport[[#This Row],[ DEDUCTION]]</f>
        <v>52884.615384615383</v>
      </c>
      <c r="BE18" s="141"/>
      <c r="BF18" s="14"/>
      <c r="BG18" s="76"/>
      <c r="BH18" s="4"/>
      <c r="BI18" s="4"/>
      <c r="BJ18" s="4"/>
      <c r="BK18" s="4"/>
      <c r="BL18" s="4"/>
      <c r="BM18" s="4"/>
    </row>
    <row r="19" spans="4:65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7"/>
        <v>4</v>
      </c>
      <c r="K19" s="51" t="s">
        <v>38</v>
      </c>
      <c r="L19" s="51" t="s">
        <v>38</v>
      </c>
      <c r="M19" s="51" t="s">
        <v>38</v>
      </c>
      <c r="N19" s="51" t="s">
        <v>38</v>
      </c>
      <c r="O19" s="51" t="str">
        <f t="shared" si="2"/>
        <v>Wo</v>
      </c>
      <c r="P19" s="51" t="s">
        <v>38</v>
      </c>
      <c r="Q19" s="51" t="s">
        <v>39</v>
      </c>
      <c r="R19" s="51" t="s">
        <v>40</v>
      </c>
      <c r="S19" s="51" t="s">
        <v>39</v>
      </c>
      <c r="T19" s="51" t="s">
        <v>38</v>
      </c>
      <c r="U19" s="51" t="s">
        <v>39</v>
      </c>
      <c r="V19" s="51" t="str">
        <f t="shared" si="2"/>
        <v>Wo</v>
      </c>
      <c r="W19" s="51" t="s">
        <v>38</v>
      </c>
      <c r="X19" s="51" t="s">
        <v>39</v>
      </c>
      <c r="Y19" s="51" t="s">
        <v>38</v>
      </c>
      <c r="Z19" s="51" t="s">
        <v>40</v>
      </c>
      <c r="AA19" s="51" t="s">
        <v>38</v>
      </c>
      <c r="AB19" s="51" t="s">
        <v>38</v>
      </c>
      <c r="AC19" s="51" t="str">
        <f t="shared" si="2"/>
        <v>Wo</v>
      </c>
      <c r="AD19" s="65" t="s">
        <v>38</v>
      </c>
      <c r="AE19" s="65" t="s">
        <v>38</v>
      </c>
      <c r="AF19" s="65" t="s">
        <v>40</v>
      </c>
      <c r="AG19" s="65" t="s">
        <v>38</v>
      </c>
      <c r="AH19" s="65" t="s">
        <v>38</v>
      </c>
      <c r="AI19" s="65" t="s">
        <v>38</v>
      </c>
      <c r="AJ19" s="65" t="str">
        <f t="shared" si="2"/>
        <v>Wo</v>
      </c>
      <c r="AK19" s="65" t="s">
        <v>38</v>
      </c>
      <c r="AL19" s="65" t="s">
        <v>38</v>
      </c>
      <c r="AM19" s="65" t="s">
        <v>38</v>
      </c>
      <c r="AN19" s="65" t="s">
        <v>40</v>
      </c>
      <c r="AO19" s="16" t="s">
        <v>38</v>
      </c>
      <c r="AP19" s="77"/>
      <c r="AQ19" s="13"/>
      <c r="AR19" s="7">
        <v>12</v>
      </c>
      <c r="AS19" s="107">
        <v>1012</v>
      </c>
      <c r="AT19" s="107" t="str">
        <f t="shared" si="3"/>
        <v>August</v>
      </c>
      <c r="AU19" s="107" t="s">
        <v>12</v>
      </c>
      <c r="AV19" s="110">
        <f t="shared" si="4"/>
        <v>18</v>
      </c>
      <c r="AW19" s="110">
        <f t="shared" si="5"/>
        <v>5</v>
      </c>
      <c r="AX19" s="110">
        <f t="shared" si="6"/>
        <v>4</v>
      </c>
      <c r="AY19" s="110">
        <f t="shared" si="8"/>
        <v>4</v>
      </c>
      <c r="AZ19" s="113">
        <f t="shared" si="9"/>
        <v>31</v>
      </c>
      <c r="BA19" s="113">
        <f t="shared" si="10"/>
        <v>26</v>
      </c>
      <c r="BB19" s="116">
        <v>65000</v>
      </c>
      <c r="BC19" s="119">
        <f>AugustReport[[#This Row],[SALARY]]/AugustReport[[#This Row],[PAID DAYS]]</f>
        <v>2500</v>
      </c>
      <c r="BD19" s="121">
        <f>AugustReport[[#This Row],[SALARY]]-AugustReport[[#This Row],[ DEDUCTION]]</f>
        <v>62500</v>
      </c>
      <c r="BE19" s="141"/>
      <c r="BF19" s="14"/>
      <c r="BG19" s="76"/>
      <c r="BH19" s="4"/>
      <c r="BI19" s="4"/>
      <c r="BJ19" s="4"/>
      <c r="BK19" s="4"/>
      <c r="BL19" s="4"/>
      <c r="BM19" s="4"/>
    </row>
    <row r="20" spans="4:65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7"/>
        <v>4</v>
      </c>
      <c r="K20" s="51" t="s">
        <v>38</v>
      </c>
      <c r="L20" s="51" t="s">
        <v>38</v>
      </c>
      <c r="M20" s="51" t="s">
        <v>38</v>
      </c>
      <c r="N20" s="51" t="s">
        <v>38</v>
      </c>
      <c r="O20" s="51" t="str">
        <f t="shared" si="2"/>
        <v>Wo</v>
      </c>
      <c r="P20" s="51" t="s">
        <v>38</v>
      </c>
      <c r="Q20" s="51" t="s">
        <v>38</v>
      </c>
      <c r="R20" s="51" t="s">
        <v>40</v>
      </c>
      <c r="S20" s="51" t="s">
        <v>38</v>
      </c>
      <c r="T20" s="51" t="s">
        <v>38</v>
      </c>
      <c r="U20" s="51" t="s">
        <v>38</v>
      </c>
      <c r="V20" s="51" t="str">
        <f t="shared" si="2"/>
        <v>Wo</v>
      </c>
      <c r="W20" s="51" t="s">
        <v>38</v>
      </c>
      <c r="X20" s="51" t="s">
        <v>38</v>
      </c>
      <c r="Y20" s="51" t="s">
        <v>38</v>
      </c>
      <c r="Z20" s="51" t="s">
        <v>40</v>
      </c>
      <c r="AA20" s="51" t="s">
        <v>38</v>
      </c>
      <c r="AB20" s="51" t="s">
        <v>38</v>
      </c>
      <c r="AC20" s="51" t="str">
        <f t="shared" si="2"/>
        <v>Wo</v>
      </c>
      <c r="AD20" s="65" t="s">
        <v>38</v>
      </c>
      <c r="AE20" s="65" t="s">
        <v>38</v>
      </c>
      <c r="AF20" s="65" t="s">
        <v>40</v>
      </c>
      <c r="AG20" s="65" t="s">
        <v>38</v>
      </c>
      <c r="AH20" s="65" t="s">
        <v>38</v>
      </c>
      <c r="AI20" s="65" t="s">
        <v>38</v>
      </c>
      <c r="AJ20" s="65" t="str">
        <f t="shared" si="2"/>
        <v>Wo</v>
      </c>
      <c r="AK20" s="65" t="s">
        <v>38</v>
      </c>
      <c r="AL20" s="65" t="s">
        <v>39</v>
      </c>
      <c r="AM20" s="65" t="s">
        <v>38</v>
      </c>
      <c r="AN20" s="65" t="s">
        <v>40</v>
      </c>
      <c r="AO20" s="16" t="s">
        <v>38</v>
      </c>
      <c r="AP20" s="77"/>
      <c r="AQ20" s="13"/>
      <c r="AR20" s="7">
        <v>13</v>
      </c>
      <c r="AS20" s="107">
        <v>1013</v>
      </c>
      <c r="AT20" s="107" t="str">
        <f t="shared" si="3"/>
        <v>August</v>
      </c>
      <c r="AU20" s="107" t="s">
        <v>13</v>
      </c>
      <c r="AV20" s="110">
        <f t="shared" si="4"/>
        <v>18</v>
      </c>
      <c r="AW20" s="110">
        <f t="shared" si="5"/>
        <v>5</v>
      </c>
      <c r="AX20" s="110">
        <f t="shared" si="6"/>
        <v>4</v>
      </c>
      <c r="AY20" s="110">
        <f t="shared" si="8"/>
        <v>4</v>
      </c>
      <c r="AZ20" s="113">
        <f t="shared" si="9"/>
        <v>31</v>
      </c>
      <c r="BA20" s="113">
        <f t="shared" si="10"/>
        <v>26</v>
      </c>
      <c r="BB20" s="116">
        <v>68000</v>
      </c>
      <c r="BC20" s="119">
        <f>AugustReport[[#This Row],[SALARY]]/AugustReport[[#This Row],[PAID DAYS]]</f>
        <v>2615.3846153846152</v>
      </c>
      <c r="BD20" s="121">
        <f>AugustReport[[#This Row],[SALARY]]-AugustReport[[#This Row],[ DEDUCTION]]</f>
        <v>65384.615384615383</v>
      </c>
      <c r="BE20" s="141"/>
      <c r="BF20" s="14"/>
      <c r="BG20" s="76"/>
      <c r="BH20" s="4"/>
      <c r="BI20" s="4"/>
      <c r="BJ20" s="4"/>
      <c r="BK20" s="4"/>
      <c r="BL20" s="4"/>
      <c r="BM20" s="4"/>
    </row>
    <row r="21" spans="4:65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7"/>
        <v>4</v>
      </c>
      <c r="K21" s="51" t="s">
        <v>38</v>
      </c>
      <c r="L21" s="51" t="s">
        <v>38</v>
      </c>
      <c r="M21" s="51" t="s">
        <v>38</v>
      </c>
      <c r="N21" s="51" t="s">
        <v>38</v>
      </c>
      <c r="O21" s="51" t="str">
        <f t="shared" si="2"/>
        <v>Wo</v>
      </c>
      <c r="P21" s="51" t="s">
        <v>38</v>
      </c>
      <c r="Q21" s="51" t="s">
        <v>38</v>
      </c>
      <c r="R21" s="51" t="s">
        <v>40</v>
      </c>
      <c r="S21" s="51" t="s">
        <v>38</v>
      </c>
      <c r="T21" s="51" t="s">
        <v>38</v>
      </c>
      <c r="U21" s="51" t="s">
        <v>38</v>
      </c>
      <c r="V21" s="51" t="str">
        <f t="shared" si="2"/>
        <v>Wo</v>
      </c>
      <c r="W21" s="51" t="s">
        <v>38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51" t="str">
        <f t="shared" si="2"/>
        <v>Wo</v>
      </c>
      <c r="AD21" s="65" t="s">
        <v>38</v>
      </c>
      <c r="AE21" s="65" t="s">
        <v>38</v>
      </c>
      <c r="AF21" s="65" t="s">
        <v>40</v>
      </c>
      <c r="AG21" s="65" t="s">
        <v>38</v>
      </c>
      <c r="AH21" s="65" t="s">
        <v>38</v>
      </c>
      <c r="AI21" s="65" t="s">
        <v>38</v>
      </c>
      <c r="AJ21" s="65" t="str">
        <f t="shared" si="2"/>
        <v>Wo</v>
      </c>
      <c r="AK21" s="65" t="s">
        <v>38</v>
      </c>
      <c r="AL21" s="65" t="s">
        <v>38</v>
      </c>
      <c r="AM21" s="65" t="s">
        <v>38</v>
      </c>
      <c r="AN21" s="65" t="s">
        <v>40</v>
      </c>
      <c r="AO21" s="16" t="s">
        <v>38</v>
      </c>
      <c r="AP21" s="77"/>
      <c r="AQ21" s="13"/>
      <c r="AR21" s="7">
        <v>14</v>
      </c>
      <c r="AS21" s="107">
        <v>1014</v>
      </c>
      <c r="AT21" s="107" t="str">
        <f t="shared" si="3"/>
        <v>August</v>
      </c>
      <c r="AU21" s="107" t="s">
        <v>14</v>
      </c>
      <c r="AV21" s="110">
        <f t="shared" si="4"/>
        <v>18</v>
      </c>
      <c r="AW21" s="110">
        <f t="shared" si="5"/>
        <v>5</v>
      </c>
      <c r="AX21" s="110">
        <f t="shared" si="6"/>
        <v>4</v>
      </c>
      <c r="AY21" s="110">
        <f t="shared" si="8"/>
        <v>4</v>
      </c>
      <c r="AZ21" s="113">
        <f t="shared" si="9"/>
        <v>31</v>
      </c>
      <c r="BA21" s="113">
        <f t="shared" si="10"/>
        <v>26</v>
      </c>
      <c r="BB21" s="116">
        <v>72000</v>
      </c>
      <c r="BC21" s="119">
        <f>AugustReport[[#This Row],[SALARY]]/AugustReport[[#This Row],[PAID DAYS]]</f>
        <v>2769.2307692307691</v>
      </c>
      <c r="BD21" s="121">
        <f>AugustReport[[#This Row],[SALARY]]-AugustReport[[#This Row],[ DEDUCTION]]</f>
        <v>69230.769230769234</v>
      </c>
      <c r="BE21" s="141"/>
      <c r="BF21" s="14"/>
      <c r="BG21" s="76"/>
      <c r="BH21" s="4"/>
      <c r="BI21" s="4"/>
      <c r="BJ21" s="4"/>
      <c r="BK21" s="4"/>
      <c r="BL21" s="4"/>
      <c r="BM21" s="4"/>
    </row>
    <row r="22" spans="4:65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7"/>
        <v>4</v>
      </c>
      <c r="K22" s="51" t="s">
        <v>38</v>
      </c>
      <c r="L22" s="51" t="s">
        <v>38</v>
      </c>
      <c r="M22" s="51" t="s">
        <v>38</v>
      </c>
      <c r="N22" s="51" t="s">
        <v>38</v>
      </c>
      <c r="O22" s="51" t="str">
        <f t="shared" si="2"/>
        <v>Wo</v>
      </c>
      <c r="P22" s="51" t="s">
        <v>38</v>
      </c>
      <c r="Q22" s="51" t="s">
        <v>39</v>
      </c>
      <c r="R22" s="51" t="s">
        <v>40</v>
      </c>
      <c r="S22" s="51" t="s">
        <v>39</v>
      </c>
      <c r="T22" s="51" t="s">
        <v>39</v>
      </c>
      <c r="U22" s="51" t="s">
        <v>38</v>
      </c>
      <c r="V22" s="51" t="str">
        <f t="shared" si="2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51" t="str">
        <f t="shared" si="2"/>
        <v>Wo</v>
      </c>
      <c r="AD22" s="65" t="s">
        <v>38</v>
      </c>
      <c r="AE22" s="65" t="s">
        <v>38</v>
      </c>
      <c r="AF22" s="65" t="s">
        <v>40</v>
      </c>
      <c r="AG22" s="65" t="s">
        <v>38</v>
      </c>
      <c r="AH22" s="65" t="s">
        <v>38</v>
      </c>
      <c r="AI22" s="65" t="s">
        <v>38</v>
      </c>
      <c r="AJ22" s="65" t="str">
        <f t="shared" si="2"/>
        <v>Wo</v>
      </c>
      <c r="AK22" s="65" t="s">
        <v>38</v>
      </c>
      <c r="AL22" s="65" t="s">
        <v>38</v>
      </c>
      <c r="AM22" s="65" t="s">
        <v>39</v>
      </c>
      <c r="AN22" s="65" t="s">
        <v>40</v>
      </c>
      <c r="AO22" s="16" t="s">
        <v>38</v>
      </c>
      <c r="AP22" s="77"/>
      <c r="AQ22" s="13"/>
      <c r="AR22" s="7">
        <v>15</v>
      </c>
      <c r="AS22" s="107">
        <v>1015</v>
      </c>
      <c r="AT22" s="107" t="str">
        <f t="shared" si="3"/>
        <v>August</v>
      </c>
      <c r="AU22" s="107" t="s">
        <v>15</v>
      </c>
      <c r="AV22" s="110">
        <f t="shared" si="4"/>
        <v>18</v>
      </c>
      <c r="AW22" s="110">
        <f t="shared" si="5"/>
        <v>5</v>
      </c>
      <c r="AX22" s="110">
        <f t="shared" si="6"/>
        <v>4</v>
      </c>
      <c r="AY22" s="110">
        <f t="shared" si="8"/>
        <v>4</v>
      </c>
      <c r="AZ22" s="113">
        <f t="shared" si="9"/>
        <v>31</v>
      </c>
      <c r="BA22" s="113">
        <f t="shared" si="10"/>
        <v>26</v>
      </c>
      <c r="BB22" s="116">
        <v>20000</v>
      </c>
      <c r="BC22" s="119">
        <f>AugustReport[[#This Row],[SALARY]]/AugustReport[[#This Row],[PAID DAYS]]</f>
        <v>769.23076923076928</v>
      </c>
      <c r="BD22" s="121">
        <f>AugustReport[[#This Row],[SALARY]]-AugustReport[[#This Row],[ DEDUCTION]]</f>
        <v>19230.76923076923</v>
      </c>
      <c r="BE22" s="141"/>
      <c r="BF22" s="14"/>
      <c r="BG22" s="76"/>
      <c r="BH22" s="4"/>
      <c r="BI22" s="4"/>
      <c r="BJ22" s="4"/>
      <c r="BK22" s="4"/>
      <c r="BL22" s="4"/>
      <c r="BM22" s="4"/>
    </row>
    <row r="23" spans="4:65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7"/>
        <v>4</v>
      </c>
      <c r="K23" s="51" t="s">
        <v>38</v>
      </c>
      <c r="L23" s="51" t="s">
        <v>38</v>
      </c>
      <c r="M23" s="51" t="s">
        <v>38</v>
      </c>
      <c r="N23" s="51" t="s">
        <v>38</v>
      </c>
      <c r="O23" s="51" t="str">
        <f t="shared" si="2"/>
        <v>Wo</v>
      </c>
      <c r="P23" s="51" t="s">
        <v>38</v>
      </c>
      <c r="Q23" s="51" t="s">
        <v>38</v>
      </c>
      <c r="R23" s="51" t="s">
        <v>40</v>
      </c>
      <c r="S23" s="51" t="s">
        <v>38</v>
      </c>
      <c r="T23" s="51" t="s">
        <v>38</v>
      </c>
      <c r="U23" s="51" t="s">
        <v>38</v>
      </c>
      <c r="V23" s="51" t="str">
        <f t="shared" si="2"/>
        <v>Wo</v>
      </c>
      <c r="W23" s="51" t="s">
        <v>38</v>
      </c>
      <c r="X23" s="51" t="s">
        <v>38</v>
      </c>
      <c r="Y23" s="51" t="s">
        <v>38</v>
      </c>
      <c r="Z23" s="51" t="s">
        <v>40</v>
      </c>
      <c r="AA23" s="51" t="s">
        <v>38</v>
      </c>
      <c r="AB23" s="51" t="s">
        <v>38</v>
      </c>
      <c r="AC23" s="51" t="str">
        <f t="shared" si="2"/>
        <v>Wo</v>
      </c>
      <c r="AD23" s="65" t="s">
        <v>38</v>
      </c>
      <c r="AE23" s="65" t="s">
        <v>38</v>
      </c>
      <c r="AF23" s="65" t="s">
        <v>40</v>
      </c>
      <c r="AG23" s="65" t="s">
        <v>38</v>
      </c>
      <c r="AH23" s="65" t="s">
        <v>38</v>
      </c>
      <c r="AI23" s="65" t="s">
        <v>38</v>
      </c>
      <c r="AJ23" s="65" t="str">
        <f t="shared" si="2"/>
        <v>Wo</v>
      </c>
      <c r="AK23" s="65" t="s">
        <v>38</v>
      </c>
      <c r="AL23" s="65" t="s">
        <v>38</v>
      </c>
      <c r="AM23" s="65" t="s">
        <v>38</v>
      </c>
      <c r="AN23" s="65" t="s">
        <v>40</v>
      </c>
      <c r="AO23" s="16" t="s">
        <v>38</v>
      </c>
      <c r="AP23" s="77"/>
      <c r="AQ23" s="13"/>
      <c r="AR23" s="7">
        <v>16</v>
      </c>
      <c r="AS23" s="107">
        <v>1016</v>
      </c>
      <c r="AT23" s="107" t="str">
        <f t="shared" si="3"/>
        <v>August</v>
      </c>
      <c r="AU23" s="107" t="s">
        <v>16</v>
      </c>
      <c r="AV23" s="110">
        <f t="shared" si="4"/>
        <v>18</v>
      </c>
      <c r="AW23" s="110">
        <f t="shared" si="5"/>
        <v>5</v>
      </c>
      <c r="AX23" s="110">
        <f t="shared" si="6"/>
        <v>4</v>
      </c>
      <c r="AY23" s="110">
        <f t="shared" si="8"/>
        <v>4</v>
      </c>
      <c r="AZ23" s="113">
        <f t="shared" si="9"/>
        <v>31</v>
      </c>
      <c r="BA23" s="113">
        <f t="shared" si="10"/>
        <v>26</v>
      </c>
      <c r="BB23" s="116">
        <v>56000</v>
      </c>
      <c r="BC23" s="119">
        <f>AugustReport[[#This Row],[SALARY]]/AugustReport[[#This Row],[PAID DAYS]]</f>
        <v>2153.8461538461538</v>
      </c>
      <c r="BD23" s="121">
        <f>AugustReport[[#This Row],[SALARY]]-AugustReport[[#This Row],[ DEDUCTION]]</f>
        <v>53846.153846153844</v>
      </c>
      <c r="BE23" s="141"/>
      <c r="BF23" s="14"/>
      <c r="BG23" s="76"/>
      <c r="BH23" s="4"/>
      <c r="BI23" s="4"/>
      <c r="BJ23" s="4"/>
      <c r="BK23" s="4"/>
      <c r="BL23" s="4"/>
      <c r="BM23" s="4"/>
    </row>
    <row r="24" spans="4:65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7"/>
        <v>4</v>
      </c>
      <c r="K24" s="51" t="s">
        <v>38</v>
      </c>
      <c r="L24" s="51" t="s">
        <v>38</v>
      </c>
      <c r="M24" s="51" t="s">
        <v>38</v>
      </c>
      <c r="N24" s="51" t="s">
        <v>38</v>
      </c>
      <c r="O24" s="51" t="str">
        <f t="shared" ref="O24:V27" si="11">IF(O$6="sun","Wo"," ")</f>
        <v>Wo</v>
      </c>
      <c r="P24" s="51" t="s">
        <v>38</v>
      </c>
      <c r="Q24" s="51" t="s">
        <v>38</v>
      </c>
      <c r="R24" s="51" t="s">
        <v>40</v>
      </c>
      <c r="S24" s="51" t="s">
        <v>38</v>
      </c>
      <c r="T24" s="51" t="s">
        <v>38</v>
      </c>
      <c r="U24" s="51" t="s">
        <v>38</v>
      </c>
      <c r="V24" s="51" t="str">
        <f t="shared" si="11"/>
        <v>Wo</v>
      </c>
      <c r="W24" s="51" t="s">
        <v>38</v>
      </c>
      <c r="X24" s="51" t="s">
        <v>39</v>
      </c>
      <c r="Y24" s="51" t="s">
        <v>38</v>
      </c>
      <c r="Z24" s="51" t="s">
        <v>40</v>
      </c>
      <c r="AA24" s="51" t="s">
        <v>38</v>
      </c>
      <c r="AB24" s="51" t="s">
        <v>38</v>
      </c>
      <c r="AC24" s="51" t="str">
        <f t="shared" ref="AC24:AJ27" si="12">IF(AC$6="sun","Wo"," ")</f>
        <v>Wo</v>
      </c>
      <c r="AD24" s="65" t="s">
        <v>38</v>
      </c>
      <c r="AE24" s="65" t="s">
        <v>39</v>
      </c>
      <c r="AF24" s="65" t="s">
        <v>40</v>
      </c>
      <c r="AG24" s="65" t="s">
        <v>38</v>
      </c>
      <c r="AH24" s="65" t="s">
        <v>38</v>
      </c>
      <c r="AI24" s="65" t="s">
        <v>38</v>
      </c>
      <c r="AJ24" s="65" t="str">
        <f t="shared" si="12"/>
        <v>Wo</v>
      </c>
      <c r="AK24" s="65" t="s">
        <v>38</v>
      </c>
      <c r="AL24" s="65" t="s">
        <v>38</v>
      </c>
      <c r="AM24" s="65" t="s">
        <v>38</v>
      </c>
      <c r="AN24" s="65" t="s">
        <v>40</v>
      </c>
      <c r="AO24" s="16" t="s">
        <v>38</v>
      </c>
      <c r="AP24" s="77"/>
      <c r="AQ24" s="13"/>
      <c r="AR24" s="7">
        <v>17</v>
      </c>
      <c r="AS24" s="107">
        <v>1017</v>
      </c>
      <c r="AT24" s="107" t="str">
        <f t="shared" si="3"/>
        <v>August</v>
      </c>
      <c r="AU24" s="107" t="s">
        <v>17</v>
      </c>
      <c r="AV24" s="110">
        <f t="shared" si="4"/>
        <v>18</v>
      </c>
      <c r="AW24" s="110">
        <f t="shared" si="5"/>
        <v>5</v>
      </c>
      <c r="AX24" s="110">
        <f t="shared" si="6"/>
        <v>4</v>
      </c>
      <c r="AY24" s="110">
        <f t="shared" si="8"/>
        <v>4</v>
      </c>
      <c r="AZ24" s="113">
        <f t="shared" si="9"/>
        <v>31</v>
      </c>
      <c r="BA24" s="113">
        <f t="shared" si="10"/>
        <v>26</v>
      </c>
      <c r="BB24" s="116">
        <v>35000</v>
      </c>
      <c r="BC24" s="119">
        <f>AugustReport[[#This Row],[SALARY]]/AugustReport[[#This Row],[PAID DAYS]]</f>
        <v>1346.1538461538462</v>
      </c>
      <c r="BD24" s="121">
        <f>AugustReport[[#This Row],[SALARY]]-AugustReport[[#This Row],[ DEDUCTION]]</f>
        <v>33653.846153846156</v>
      </c>
      <c r="BE24" s="141"/>
      <c r="BF24" s="14"/>
      <c r="BG24" s="76"/>
      <c r="BH24" s="4"/>
      <c r="BI24" s="4"/>
      <c r="BJ24" s="4"/>
      <c r="BK24" s="4"/>
      <c r="BL24" s="4"/>
      <c r="BM24" s="4"/>
    </row>
    <row r="25" spans="4:65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7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11"/>
        <v>Wo</v>
      </c>
      <c r="P25" s="51" t="s">
        <v>38</v>
      </c>
      <c r="Q25" s="51" t="s">
        <v>38</v>
      </c>
      <c r="R25" s="51" t="s">
        <v>40</v>
      </c>
      <c r="S25" s="51" t="s">
        <v>38</v>
      </c>
      <c r="T25" s="51" t="s">
        <v>38</v>
      </c>
      <c r="U25" s="51" t="s">
        <v>38</v>
      </c>
      <c r="V25" s="51" t="str">
        <f t="shared" si="11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38</v>
      </c>
      <c r="AB25" s="51" t="s">
        <v>38</v>
      </c>
      <c r="AC25" s="51" t="str">
        <f t="shared" si="12"/>
        <v>Wo</v>
      </c>
      <c r="AD25" s="65" t="s">
        <v>38</v>
      </c>
      <c r="AE25" s="65" t="s">
        <v>38</v>
      </c>
      <c r="AF25" s="65" t="s">
        <v>40</v>
      </c>
      <c r="AG25" s="65" t="s">
        <v>38</v>
      </c>
      <c r="AH25" s="65" t="s">
        <v>38</v>
      </c>
      <c r="AI25" s="65" t="s">
        <v>38</v>
      </c>
      <c r="AJ25" s="65" t="str">
        <f t="shared" si="12"/>
        <v>Wo</v>
      </c>
      <c r="AK25" s="65" t="s">
        <v>38</v>
      </c>
      <c r="AL25" s="65" t="s">
        <v>38</v>
      </c>
      <c r="AM25" s="65" t="s">
        <v>38</v>
      </c>
      <c r="AN25" s="65" t="s">
        <v>40</v>
      </c>
      <c r="AO25" s="16" t="s">
        <v>38</v>
      </c>
      <c r="AP25" s="77"/>
      <c r="AQ25" s="13"/>
      <c r="AR25" s="7">
        <v>18</v>
      </c>
      <c r="AS25" s="107">
        <v>1018</v>
      </c>
      <c r="AT25" s="107" t="str">
        <f t="shared" si="3"/>
        <v>August</v>
      </c>
      <c r="AU25" s="107" t="s">
        <v>18</v>
      </c>
      <c r="AV25" s="110">
        <f t="shared" si="4"/>
        <v>18</v>
      </c>
      <c r="AW25" s="110">
        <f t="shared" si="5"/>
        <v>5</v>
      </c>
      <c r="AX25" s="110">
        <f t="shared" si="6"/>
        <v>4</v>
      </c>
      <c r="AY25" s="110">
        <f t="shared" si="8"/>
        <v>4</v>
      </c>
      <c r="AZ25" s="113">
        <f t="shared" si="9"/>
        <v>31</v>
      </c>
      <c r="BA25" s="113">
        <f t="shared" si="10"/>
        <v>26</v>
      </c>
      <c r="BB25" s="116">
        <v>12000</v>
      </c>
      <c r="BC25" s="119">
        <f>AugustReport[[#This Row],[SALARY]]/AugustReport[[#This Row],[PAID DAYS]]</f>
        <v>461.53846153846155</v>
      </c>
      <c r="BD25" s="121">
        <f>AugustReport[[#This Row],[SALARY]]-AugustReport[[#This Row],[ DEDUCTION]]</f>
        <v>11538.461538461539</v>
      </c>
      <c r="BE25" s="141"/>
      <c r="BF25" s="14"/>
      <c r="BG25" s="76"/>
      <c r="BH25" s="4"/>
      <c r="BI25" s="4"/>
      <c r="BJ25" s="4"/>
      <c r="BK25" s="4"/>
      <c r="BL25" s="4"/>
      <c r="BM25" s="4"/>
    </row>
    <row r="26" spans="4:65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7"/>
        <v>4</v>
      </c>
      <c r="K26" s="51" t="s">
        <v>38</v>
      </c>
      <c r="L26" s="51" t="s">
        <v>38</v>
      </c>
      <c r="M26" s="51" t="s">
        <v>38</v>
      </c>
      <c r="N26" s="51" t="s">
        <v>38</v>
      </c>
      <c r="O26" s="51" t="str">
        <f t="shared" si="11"/>
        <v>Wo</v>
      </c>
      <c r="P26" s="51" t="s">
        <v>38</v>
      </c>
      <c r="Q26" s="51" t="s">
        <v>38</v>
      </c>
      <c r="R26" s="51" t="s">
        <v>40</v>
      </c>
      <c r="S26" s="51" t="s">
        <v>38</v>
      </c>
      <c r="T26" s="51" t="s">
        <v>38</v>
      </c>
      <c r="U26" s="51" t="s">
        <v>38</v>
      </c>
      <c r="V26" s="51" t="str">
        <f t="shared" si="11"/>
        <v>Wo</v>
      </c>
      <c r="W26" s="51" t="s">
        <v>38</v>
      </c>
      <c r="X26" s="51" t="s">
        <v>38</v>
      </c>
      <c r="Y26" s="51" t="s">
        <v>38</v>
      </c>
      <c r="Z26" s="51" t="s">
        <v>40</v>
      </c>
      <c r="AA26" s="51" t="s">
        <v>38</v>
      </c>
      <c r="AB26" s="51" t="s">
        <v>38</v>
      </c>
      <c r="AC26" s="51" t="str">
        <f t="shared" si="12"/>
        <v>Wo</v>
      </c>
      <c r="AD26" s="65" t="s">
        <v>38</v>
      </c>
      <c r="AE26" s="65" t="s">
        <v>38</v>
      </c>
      <c r="AF26" s="65" t="s">
        <v>40</v>
      </c>
      <c r="AG26" s="65" t="s">
        <v>38</v>
      </c>
      <c r="AH26" s="65" t="s">
        <v>38</v>
      </c>
      <c r="AI26" s="65" t="s">
        <v>38</v>
      </c>
      <c r="AJ26" s="65" t="str">
        <f t="shared" si="12"/>
        <v>Wo</v>
      </c>
      <c r="AK26" s="65" t="s">
        <v>38</v>
      </c>
      <c r="AL26" s="65" t="s">
        <v>38</v>
      </c>
      <c r="AM26" s="65" t="s">
        <v>38</v>
      </c>
      <c r="AN26" s="65" t="s">
        <v>40</v>
      </c>
      <c r="AO26" s="16" t="s">
        <v>38</v>
      </c>
      <c r="AP26" s="77"/>
      <c r="AQ26" s="13"/>
      <c r="AR26" s="7">
        <v>19</v>
      </c>
      <c r="AS26" s="107">
        <v>1019</v>
      </c>
      <c r="AT26" s="107" t="str">
        <f t="shared" si="3"/>
        <v>August</v>
      </c>
      <c r="AU26" s="107" t="s">
        <v>19</v>
      </c>
      <c r="AV26" s="110">
        <f t="shared" si="4"/>
        <v>18</v>
      </c>
      <c r="AW26" s="110">
        <f t="shared" si="5"/>
        <v>5</v>
      </c>
      <c r="AX26" s="110">
        <f t="shared" si="6"/>
        <v>4</v>
      </c>
      <c r="AY26" s="110">
        <f t="shared" si="8"/>
        <v>4</v>
      </c>
      <c r="AZ26" s="113">
        <f t="shared" si="9"/>
        <v>31</v>
      </c>
      <c r="BA26" s="113">
        <f t="shared" si="10"/>
        <v>26</v>
      </c>
      <c r="BB26" s="116">
        <v>19000</v>
      </c>
      <c r="BC26" s="119">
        <f>AugustReport[[#This Row],[SALARY]]/AugustReport[[#This Row],[PAID DAYS]]</f>
        <v>730.76923076923072</v>
      </c>
      <c r="BD26" s="121">
        <f>AugustReport[[#This Row],[SALARY]]-AugustReport[[#This Row],[ DEDUCTION]]</f>
        <v>18269.23076923077</v>
      </c>
      <c r="BE26" s="141"/>
      <c r="BF26" s="14"/>
      <c r="BG26" s="76"/>
      <c r="BH26" s="4"/>
      <c r="BI26" s="4"/>
      <c r="BJ26" s="4"/>
      <c r="BK26" s="4"/>
      <c r="BL26" s="4"/>
      <c r="BM26" s="4"/>
    </row>
    <row r="27" spans="4:65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7"/>
        <v>4</v>
      </c>
      <c r="K27" s="9" t="s">
        <v>38</v>
      </c>
      <c r="L27" s="9" t="s">
        <v>38</v>
      </c>
      <c r="M27" s="9" t="s">
        <v>38</v>
      </c>
      <c r="N27" s="9" t="s">
        <v>38</v>
      </c>
      <c r="O27" s="9" t="str">
        <f t="shared" si="11"/>
        <v>Wo</v>
      </c>
      <c r="P27" s="9" t="s">
        <v>38</v>
      </c>
      <c r="Q27" s="9" t="s">
        <v>38</v>
      </c>
      <c r="R27" s="9" t="s">
        <v>40</v>
      </c>
      <c r="S27" s="9" t="s">
        <v>39</v>
      </c>
      <c r="T27" s="9" t="s">
        <v>38</v>
      </c>
      <c r="U27" s="9" t="s">
        <v>38</v>
      </c>
      <c r="V27" s="9" t="str">
        <f t="shared" si="11"/>
        <v>Wo</v>
      </c>
      <c r="W27" s="9" t="s">
        <v>38</v>
      </c>
      <c r="X27" s="9" t="s">
        <v>38</v>
      </c>
      <c r="Y27" s="9" t="s">
        <v>38</v>
      </c>
      <c r="Z27" s="9" t="s">
        <v>40</v>
      </c>
      <c r="AA27" s="9" t="s">
        <v>38</v>
      </c>
      <c r="AB27" s="9" t="s">
        <v>38</v>
      </c>
      <c r="AC27" s="9" t="str">
        <f t="shared" si="12"/>
        <v>Wo</v>
      </c>
      <c r="AD27" s="17" t="s">
        <v>38</v>
      </c>
      <c r="AE27" s="17" t="s">
        <v>38</v>
      </c>
      <c r="AF27" s="17" t="s">
        <v>40</v>
      </c>
      <c r="AG27" s="17" t="s">
        <v>38</v>
      </c>
      <c r="AH27" s="17" t="s">
        <v>38</v>
      </c>
      <c r="AI27" s="17" t="s">
        <v>38</v>
      </c>
      <c r="AJ27" s="17" t="str">
        <f t="shared" si="12"/>
        <v>Wo</v>
      </c>
      <c r="AK27" s="17" t="s">
        <v>38</v>
      </c>
      <c r="AL27" s="17" t="s">
        <v>38</v>
      </c>
      <c r="AM27" s="17" t="s">
        <v>38</v>
      </c>
      <c r="AN27" s="17" t="s">
        <v>40</v>
      </c>
      <c r="AO27" s="24" t="s">
        <v>38</v>
      </c>
      <c r="AP27" s="77"/>
      <c r="AQ27" s="13"/>
      <c r="AR27" s="7">
        <v>20</v>
      </c>
      <c r="AS27" s="107">
        <v>1020</v>
      </c>
      <c r="AT27" s="107" t="str">
        <f t="shared" si="3"/>
        <v>August</v>
      </c>
      <c r="AU27" s="107" t="s">
        <v>20</v>
      </c>
      <c r="AV27" s="110">
        <f t="shared" si="4"/>
        <v>18</v>
      </c>
      <c r="AW27" s="110">
        <f t="shared" si="5"/>
        <v>5</v>
      </c>
      <c r="AX27" s="110">
        <f t="shared" si="6"/>
        <v>4</v>
      </c>
      <c r="AY27" s="110">
        <f t="shared" si="8"/>
        <v>4</v>
      </c>
      <c r="AZ27" s="113">
        <f t="shared" si="9"/>
        <v>31</v>
      </c>
      <c r="BA27" s="113">
        <f t="shared" si="10"/>
        <v>26</v>
      </c>
      <c r="BB27" s="116">
        <v>21000</v>
      </c>
      <c r="BC27" s="119">
        <f>AugustReport[[#This Row],[SALARY]]/AugustReport[[#This Row],[PAID DAYS]]</f>
        <v>807.69230769230774</v>
      </c>
      <c r="BD27" s="121">
        <f>AugustReport[[#This Row],[SALARY]]-AugustReport[[#This Row],[ DEDUCTION]]</f>
        <v>20192.307692307691</v>
      </c>
      <c r="BE27" s="141"/>
      <c r="BF27" s="14"/>
      <c r="BG27" s="76"/>
      <c r="BH27" s="4"/>
      <c r="BI27" s="4"/>
      <c r="BJ27" s="4"/>
      <c r="BK27" s="4"/>
      <c r="BL27" s="4"/>
      <c r="BM27" s="4"/>
    </row>
    <row r="28" spans="4:65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62"/>
      <c r="AP28" s="75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76"/>
      <c r="BH28" s="4"/>
      <c r="BI28" s="4"/>
      <c r="BJ28" s="4"/>
      <c r="BK28" s="4"/>
      <c r="BL28" s="4"/>
      <c r="BM28" s="4"/>
    </row>
    <row r="29" spans="4:65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62"/>
      <c r="AP29" s="75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76"/>
      <c r="BH29" s="4"/>
      <c r="BI29" s="4"/>
      <c r="BJ29" s="4"/>
      <c r="BK29" s="4"/>
      <c r="BL29" s="4"/>
      <c r="BM29" s="4"/>
    </row>
    <row r="30" spans="4:65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62"/>
      <c r="AP30" s="75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76"/>
      <c r="BH30" s="4"/>
      <c r="BI30" s="4"/>
      <c r="BJ30" s="4"/>
      <c r="BK30" s="4"/>
      <c r="BL30" s="4"/>
      <c r="BM30" s="4"/>
    </row>
    <row r="31" spans="4:65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62"/>
      <c r="AP31" s="75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76"/>
      <c r="BH31" s="4"/>
      <c r="BI31" s="4"/>
      <c r="BJ31" s="4"/>
      <c r="BK31" s="4"/>
      <c r="BL31" s="4"/>
      <c r="BM31" s="4"/>
    </row>
    <row r="32" spans="4:65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62"/>
      <c r="AP32" s="75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76"/>
      <c r="BH32" s="4"/>
      <c r="BI32" s="4"/>
      <c r="BJ32" s="4"/>
      <c r="BK32" s="4"/>
      <c r="BL32" s="4"/>
      <c r="BM32" s="4"/>
    </row>
    <row r="33" spans="1:65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62"/>
      <c r="AP33" s="75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76"/>
      <c r="BH33" s="4"/>
      <c r="BI33" s="4"/>
      <c r="BJ33" s="4"/>
      <c r="BK33" s="4"/>
      <c r="BL33" s="4"/>
      <c r="BM33" s="4"/>
    </row>
    <row r="34" spans="1:65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62"/>
      <c r="AP34" s="75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76"/>
      <c r="BH34" s="4"/>
      <c r="BI34" s="4"/>
      <c r="BJ34" s="4"/>
      <c r="BK34" s="4"/>
      <c r="BL34" s="4"/>
      <c r="BM34" s="4"/>
    </row>
    <row r="35" spans="1:65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62"/>
      <c r="AP35" s="75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76"/>
      <c r="BH35" s="4"/>
      <c r="BI35" s="4"/>
      <c r="BJ35" s="4"/>
      <c r="BK35" s="4"/>
      <c r="BL35" s="4"/>
      <c r="BM35" s="4"/>
    </row>
    <row r="36" spans="1:65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8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0"/>
      <c r="BF36" s="80"/>
      <c r="BG36" s="81"/>
      <c r="BH36" s="4"/>
      <c r="BI36" s="4"/>
      <c r="BJ36" s="4"/>
      <c r="BK36" s="4"/>
      <c r="BL36" s="4"/>
      <c r="BM36" s="4"/>
    </row>
    <row r="37" spans="1:65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</row>
    <row r="38" spans="1:65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</row>
    <row r="39" spans="1:65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</row>
    <row r="40" spans="1:65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</row>
    <row r="41" spans="1:65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</row>
    <row r="42" spans="1:65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</row>
    <row r="43" spans="1:65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</row>
    <row r="44" spans="1:65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</row>
    <row r="45" spans="1:65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</row>
    <row r="46" spans="1:65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</row>
    <row r="47" spans="1:65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</row>
    <row r="48" spans="1:65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</row>
    <row r="49" spans="42:65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</row>
    <row r="50" spans="42:65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</row>
    <row r="51" spans="42:65" ht="30" customHeight="1">
      <c r="AP51" s="4"/>
      <c r="AQ51" s="5"/>
    </row>
    <row r="52" spans="42:65" ht="30" customHeight="1">
      <c r="AP52" s="4"/>
      <c r="AQ52" s="5"/>
    </row>
    <row r="53" spans="42:65" ht="30" customHeight="1">
      <c r="AP53" s="4"/>
      <c r="AQ53" s="5"/>
    </row>
    <row r="54" spans="42:65" ht="30" customHeight="1">
      <c r="AP54" s="4"/>
      <c r="AQ54" s="5"/>
    </row>
    <row r="55" spans="42:65" ht="30" customHeight="1">
      <c r="AP55" s="4"/>
      <c r="AQ55" s="5"/>
    </row>
    <row r="56" spans="42:65" ht="30" customHeight="1">
      <c r="AP56" s="4"/>
      <c r="AQ56" s="5"/>
    </row>
    <row r="57" spans="42:65" ht="30" customHeight="1">
      <c r="AP57" s="4"/>
      <c r="AQ57" s="5"/>
    </row>
    <row r="58" spans="42:65" ht="30" customHeight="1">
      <c r="AP58" s="4"/>
      <c r="AQ58" s="5"/>
    </row>
    <row r="59" spans="42:65" ht="30" customHeight="1">
      <c r="AP59" s="4"/>
      <c r="AQ59" s="5"/>
    </row>
    <row r="60" spans="42:65" ht="30" customHeight="1">
      <c r="AP60" s="4"/>
      <c r="AQ60" s="5"/>
    </row>
    <row r="61" spans="42:65" ht="30" customHeight="1">
      <c r="AP61" s="4"/>
      <c r="AQ61" s="5"/>
    </row>
    <row r="62" spans="42:65" ht="30" customHeight="1"/>
    <row r="63" spans="42:65" ht="30" customHeight="1"/>
    <row r="64" spans="42:65" ht="30" customHeight="1"/>
    <row r="65" ht="30" customHeight="1"/>
  </sheetData>
  <mergeCells count="1">
    <mergeCell ref="G6:I6"/>
  </mergeCells>
  <conditionalFormatting sqref="J6:AO27">
    <cfRule type="containsText" dxfId="22" priority="4" operator="containsText" text="WO">
      <formula>NOT(ISERROR(SEARCH("WO",J6)))</formula>
    </cfRule>
  </conditionalFormatting>
  <conditionalFormatting sqref="K8:AO27">
    <cfRule type="containsText" dxfId="21" priority="1" operator="containsText" text="L">
      <formula>NOT(ISERROR(SEARCH("L",K8)))</formula>
    </cfRule>
    <cfRule type="containsText" dxfId="20" priority="2" operator="containsText" text="A">
      <formula>NOT(ISERROR(SEARCH("A",K8)))</formula>
    </cfRule>
    <cfRule type="containsText" dxfId="19" priority="3" operator="containsText" text="P">
      <formula>NOT(ISERROR(SEARCH("P",K8)))</formula>
    </cfRule>
  </conditionalFormatting>
  <dataValidations count="1">
    <dataValidation type="list" allowBlank="1" showInputMessage="1" showErrorMessage="1" sqref="P8:U27 K8:N27 W8:AB27 AD8:AI27 AK8:AO27" xr:uid="{BA8F995C-4553-4C6F-8EE3-F45E2DFBA09E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E7999F-FC09-4DA7-87EC-6A6909D171D7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6559F95-6D13-4341-87AF-36D79DDCE429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AUGUST!AV8:AY8</xm:f>
              <xm:sqref>BE8</xm:sqref>
            </x14:sparkline>
            <x14:sparkline>
              <xm:f>AUGUST!AV9:AY9</xm:f>
              <xm:sqref>BE9</xm:sqref>
            </x14:sparkline>
            <x14:sparkline>
              <xm:f>AUGUST!AV10:AY10</xm:f>
              <xm:sqref>BE10</xm:sqref>
            </x14:sparkline>
            <x14:sparkline>
              <xm:f>AUGUST!AV11:AY11</xm:f>
              <xm:sqref>BE11</xm:sqref>
            </x14:sparkline>
            <x14:sparkline>
              <xm:f>AUGUST!AV12:AY12</xm:f>
              <xm:sqref>BE12</xm:sqref>
            </x14:sparkline>
            <x14:sparkline>
              <xm:f>AUGUST!AV13:AY13</xm:f>
              <xm:sqref>BE13</xm:sqref>
            </x14:sparkline>
            <x14:sparkline>
              <xm:f>AUGUST!AV14:AY14</xm:f>
              <xm:sqref>BE14</xm:sqref>
            </x14:sparkline>
            <x14:sparkline>
              <xm:f>AUGUST!AV15:AY15</xm:f>
              <xm:sqref>BE15</xm:sqref>
            </x14:sparkline>
            <x14:sparkline>
              <xm:f>AUGUST!AV16:AY16</xm:f>
              <xm:sqref>BE16</xm:sqref>
            </x14:sparkline>
            <x14:sparkline>
              <xm:f>AUGUST!AV17:AY17</xm:f>
              <xm:sqref>BE17</xm:sqref>
            </x14:sparkline>
            <x14:sparkline>
              <xm:f>AUGUST!AV18:AY18</xm:f>
              <xm:sqref>BE18</xm:sqref>
            </x14:sparkline>
            <x14:sparkline>
              <xm:f>AUGUST!AV19:AY19</xm:f>
              <xm:sqref>BE19</xm:sqref>
            </x14:sparkline>
            <x14:sparkline>
              <xm:f>AUGUST!AV20:AY20</xm:f>
              <xm:sqref>BE20</xm:sqref>
            </x14:sparkline>
            <x14:sparkline>
              <xm:f>AUGUST!AV21:AY21</xm:f>
              <xm:sqref>BE21</xm:sqref>
            </x14:sparkline>
            <x14:sparkline>
              <xm:f>AUGUST!AV22:AY22</xm:f>
              <xm:sqref>BE22</xm:sqref>
            </x14:sparkline>
            <x14:sparkline>
              <xm:f>AUGUST!AV23:AY23</xm:f>
              <xm:sqref>BE23</xm:sqref>
            </x14:sparkline>
            <x14:sparkline>
              <xm:f>AUGUST!AV24:AY24</xm:f>
              <xm:sqref>BE24</xm:sqref>
            </x14:sparkline>
            <x14:sparkline>
              <xm:f>AUGUST!AV25:AY25</xm:f>
              <xm:sqref>BE25</xm:sqref>
            </x14:sparkline>
            <x14:sparkline>
              <xm:f>AUGUST!AV26:AY26</xm:f>
              <xm:sqref>BE26</xm:sqref>
            </x14:sparkline>
            <x14:sparkline>
              <xm:f>AUGUST!AV27:AY27</xm:f>
              <xm:sqref>BE27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BE4A-10D2-4FBF-8774-FC421630A216}">
  <dimension ref="A1:BM65"/>
  <sheetViews>
    <sheetView topLeftCell="A14" zoomScale="50" zoomScaleNormal="50" workbookViewId="0">
      <selection activeCell="R31" sqref="R31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50" width="15.140625" style="3" customWidth="1"/>
    <col min="51" max="51" width="16" style="3" customWidth="1"/>
    <col min="52" max="53" width="16.85546875" style="3" customWidth="1"/>
    <col min="54" max="54" width="23.7109375" style="3" customWidth="1"/>
    <col min="55" max="55" width="17.7109375" style="3" customWidth="1"/>
    <col min="56" max="56" width="18.5703125" style="3" customWidth="1"/>
    <col min="57" max="57" width="23.42578125" style="2" customWidth="1"/>
    <col min="58" max="16384" width="9.140625" style="2"/>
  </cols>
  <sheetData>
    <row r="1" spans="4:65" ht="30" customHeight="1">
      <c r="AP1" s="69"/>
      <c r="AQ1" s="70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  <c r="BF1" s="73"/>
      <c r="BG1" s="74"/>
      <c r="BH1" s="4"/>
      <c r="BI1" s="4"/>
      <c r="BJ1" s="4"/>
      <c r="BK1" s="4"/>
      <c r="BL1" s="4"/>
      <c r="BM1" s="4"/>
    </row>
    <row r="2" spans="4:65" ht="30" customHeight="1" thickBot="1">
      <c r="AP2" s="75"/>
      <c r="AQ2" s="13"/>
      <c r="BF2" s="14"/>
      <c r="BG2" s="76"/>
      <c r="BH2" s="4"/>
      <c r="BI2" s="4"/>
      <c r="BJ2" s="4"/>
      <c r="BK2" s="4"/>
      <c r="BL2" s="4"/>
      <c r="BM2" s="4"/>
    </row>
    <row r="3" spans="4:65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75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76"/>
      <c r="BH3" s="4"/>
      <c r="BI3" s="4"/>
      <c r="BJ3" s="4"/>
      <c r="BK3" s="4"/>
      <c r="BL3" s="4"/>
      <c r="BM3" s="4"/>
    </row>
    <row r="4" spans="4:65" ht="30" customHeight="1">
      <c r="D4" s="55"/>
      <c r="E4" s="56"/>
      <c r="F4" s="56"/>
      <c r="G4" s="57" t="s">
        <v>24</v>
      </c>
      <c r="H4" s="58"/>
      <c r="I4" s="59">
        <v>45901</v>
      </c>
      <c r="J4" s="60"/>
      <c r="K4" s="12">
        <f>(DATEDIF(I4,O4,"D"))+1</f>
        <v>30</v>
      </c>
      <c r="L4" s="50" t="str">
        <f>TEXT(I4,"MMMM")</f>
        <v>September</v>
      </c>
      <c r="M4" s="12" t="s">
        <v>28</v>
      </c>
      <c r="N4" s="61"/>
      <c r="O4" s="59">
        <f>EOMONTH(I4,0)</f>
        <v>45930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75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76"/>
      <c r="BH4" s="4"/>
      <c r="BI4" s="4"/>
      <c r="BJ4" s="4"/>
      <c r="BK4" s="4"/>
      <c r="BL4" s="4"/>
      <c r="BM4" s="4"/>
    </row>
    <row r="5" spans="4:65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75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76"/>
      <c r="BH5" s="4"/>
      <c r="BI5" s="4"/>
      <c r="BJ5" s="4"/>
      <c r="BK5" s="4"/>
      <c r="BL5" s="4"/>
      <c r="BM5" s="4"/>
    </row>
    <row r="6" spans="4:65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20" t="str">
        <f t="shared" si="0"/>
        <v>Fri</v>
      </c>
      <c r="AP6" s="75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76"/>
      <c r="BH6" s="4"/>
      <c r="BI6" s="4"/>
      <c r="BJ6" s="4"/>
      <c r="BK6" s="4"/>
      <c r="BL6" s="4"/>
      <c r="BM6" s="4"/>
    </row>
    <row r="7" spans="4:65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64">
        <f t="shared" si="1"/>
        <v>45676</v>
      </c>
      <c r="AD7" s="64">
        <f t="shared" si="1"/>
        <v>45677</v>
      </c>
      <c r="AE7" s="64">
        <f t="shared" si="1"/>
        <v>45678</v>
      </c>
      <c r="AF7" s="64">
        <f t="shared" si="1"/>
        <v>45679</v>
      </c>
      <c r="AG7" s="64">
        <f t="shared" si="1"/>
        <v>45680</v>
      </c>
      <c r="AH7" s="64">
        <f t="shared" si="1"/>
        <v>45681</v>
      </c>
      <c r="AI7" s="64">
        <f t="shared" si="1"/>
        <v>45682</v>
      </c>
      <c r="AJ7" s="64">
        <f t="shared" si="1"/>
        <v>45683</v>
      </c>
      <c r="AK7" s="64">
        <f t="shared" si="1"/>
        <v>45684</v>
      </c>
      <c r="AL7" s="64">
        <f t="shared" si="1"/>
        <v>45685</v>
      </c>
      <c r="AM7" s="64">
        <f t="shared" si="1"/>
        <v>45686</v>
      </c>
      <c r="AN7" s="64">
        <f t="shared" si="1"/>
        <v>45687</v>
      </c>
      <c r="AO7" s="23">
        <f t="shared" si="1"/>
        <v>45688</v>
      </c>
      <c r="AP7" s="77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9" t="s">
        <v>41</v>
      </c>
      <c r="BE7" s="138" t="s">
        <v>37</v>
      </c>
      <c r="BF7" s="14"/>
      <c r="BG7" s="76"/>
      <c r="BH7" s="4"/>
      <c r="BI7" s="4"/>
      <c r="BJ7" s="4"/>
      <c r="BK7" s="4"/>
      <c r="BL7" s="4"/>
      <c r="BM7" s="4"/>
    </row>
    <row r="8" spans="4:65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39</v>
      </c>
      <c r="L8" s="51" t="s">
        <v>38</v>
      </c>
      <c r="M8" s="51" t="s">
        <v>38</v>
      </c>
      <c r="N8" s="51" t="s">
        <v>38</v>
      </c>
      <c r="O8" s="51" t="str">
        <f t="shared" ref="O8:AJ23" si="2">IF(O$6="sun","Wo"," ")</f>
        <v>Wo</v>
      </c>
      <c r="P8" s="51" t="s">
        <v>38</v>
      </c>
      <c r="Q8" s="51" t="s">
        <v>38</v>
      </c>
      <c r="R8" s="51" t="s">
        <v>40</v>
      </c>
      <c r="S8" s="51" t="s">
        <v>38</v>
      </c>
      <c r="T8" s="51" t="s">
        <v>38</v>
      </c>
      <c r="U8" s="51" t="s">
        <v>38</v>
      </c>
      <c r="V8" s="51" t="str">
        <f t="shared" si="2"/>
        <v>Wo</v>
      </c>
      <c r="W8" s="51" t="s">
        <v>38</v>
      </c>
      <c r="X8" s="51" t="s">
        <v>38</v>
      </c>
      <c r="Y8" s="51" t="s">
        <v>38</v>
      </c>
      <c r="Z8" s="51" t="s">
        <v>40</v>
      </c>
      <c r="AA8" s="51" t="s">
        <v>38</v>
      </c>
      <c r="AB8" s="51" t="s">
        <v>38</v>
      </c>
      <c r="AC8" s="51" t="str">
        <f t="shared" si="2"/>
        <v>Wo</v>
      </c>
      <c r="AD8" s="65" t="s">
        <v>38</v>
      </c>
      <c r="AE8" s="65" t="s">
        <v>38</v>
      </c>
      <c r="AF8" s="65" t="s">
        <v>40</v>
      </c>
      <c r="AG8" s="65" t="s">
        <v>38</v>
      </c>
      <c r="AH8" s="65" t="s">
        <v>38</v>
      </c>
      <c r="AI8" s="65" t="s">
        <v>38</v>
      </c>
      <c r="AJ8" s="65" t="str">
        <f t="shared" si="2"/>
        <v>Wo</v>
      </c>
      <c r="AK8" s="65" t="s">
        <v>38</v>
      </c>
      <c r="AL8" s="65" t="s">
        <v>38</v>
      </c>
      <c r="AM8" s="65" t="s">
        <v>39</v>
      </c>
      <c r="AN8" s="65" t="s">
        <v>40</v>
      </c>
      <c r="AO8" s="16" t="s">
        <v>38</v>
      </c>
      <c r="AP8" s="77"/>
      <c r="AQ8" s="13"/>
      <c r="AR8" s="135">
        <v>1</v>
      </c>
      <c r="AS8" s="106">
        <v>1001</v>
      </c>
      <c r="AT8" s="106" t="str">
        <f t="shared" ref="AT8:AT27" si="3">$L$4</f>
        <v>September</v>
      </c>
      <c r="AU8" s="106" t="s">
        <v>1</v>
      </c>
      <c r="AV8" s="109">
        <f t="shared" ref="AV8:AV27" si="4">COUNTIF($K8:$AO8,"*P*")</f>
        <v>21</v>
      </c>
      <c r="AW8" s="109">
        <f t="shared" ref="AW8:AW27" si="5">COUNTIF($K8:$AO8,"*A*")</f>
        <v>2</v>
      </c>
      <c r="AX8" s="109">
        <f t="shared" ref="AX8:AX27" si="6">COUNTIF($K8:$AO8,"*L*")</f>
        <v>4</v>
      </c>
      <c r="AY8" s="109">
        <f>$J$8</f>
        <v>4</v>
      </c>
      <c r="AZ8" s="112">
        <f>$K$4</f>
        <v>30</v>
      </c>
      <c r="BA8" s="112">
        <f>(AZ8-AW8)</f>
        <v>28</v>
      </c>
      <c r="BB8" s="115">
        <v>15000</v>
      </c>
      <c r="BC8" s="122">
        <f>SeptemberReport[[#This Row],[SALARY]]/SeptemberReport[[#This Row],[PAID DAYS]]</f>
        <v>535.71428571428567</v>
      </c>
      <c r="BD8" s="118">
        <f>SeptemberReport[[#This Row],[SALARY]]-SeptemberReport[[#This Row],[ DEDUCTION]]</f>
        <v>14464.285714285714</v>
      </c>
      <c r="BE8" s="124"/>
      <c r="BF8" s="14"/>
      <c r="BG8" s="76"/>
      <c r="BH8" s="4"/>
      <c r="BI8" s="4"/>
      <c r="BJ8" s="4"/>
      <c r="BK8" s="4"/>
      <c r="BL8" s="4"/>
      <c r="BM8" s="4"/>
    </row>
    <row r="9" spans="4:65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7">COUNTIF($K$6:$AO$6,"sun")</f>
        <v>4</v>
      </c>
      <c r="K9" s="51" t="s">
        <v>38</v>
      </c>
      <c r="L9" s="51" t="s">
        <v>38</v>
      </c>
      <c r="M9" s="51" t="s">
        <v>38</v>
      </c>
      <c r="N9" s="51" t="s">
        <v>38</v>
      </c>
      <c r="O9" s="51" t="str">
        <f t="shared" si="2"/>
        <v>Wo</v>
      </c>
      <c r="P9" s="51" t="s">
        <v>39</v>
      </c>
      <c r="Q9" s="51" t="s">
        <v>38</v>
      </c>
      <c r="R9" s="51" t="s">
        <v>40</v>
      </c>
      <c r="S9" s="51" t="s">
        <v>38</v>
      </c>
      <c r="T9" s="51" t="s">
        <v>38</v>
      </c>
      <c r="U9" s="51" t="s">
        <v>38</v>
      </c>
      <c r="V9" s="51" t="str">
        <f t="shared" si="2"/>
        <v>Wo</v>
      </c>
      <c r="W9" s="51" t="s">
        <v>38</v>
      </c>
      <c r="X9" s="51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51" t="str">
        <f t="shared" si="2"/>
        <v>Wo</v>
      </c>
      <c r="AD9" s="65" t="s">
        <v>38</v>
      </c>
      <c r="AE9" s="65" t="s">
        <v>38</v>
      </c>
      <c r="AF9" s="65" t="s">
        <v>40</v>
      </c>
      <c r="AG9" s="65" t="s">
        <v>38</v>
      </c>
      <c r="AH9" s="65" t="s">
        <v>38</v>
      </c>
      <c r="AI9" s="65" t="s">
        <v>38</v>
      </c>
      <c r="AJ9" s="65" t="str">
        <f t="shared" si="2"/>
        <v>Wo</v>
      </c>
      <c r="AK9" s="65" t="s">
        <v>38</v>
      </c>
      <c r="AL9" s="65" t="s">
        <v>38</v>
      </c>
      <c r="AM9" s="65" t="s">
        <v>38</v>
      </c>
      <c r="AN9" s="65" t="s">
        <v>40</v>
      </c>
      <c r="AO9" s="16" t="s">
        <v>38</v>
      </c>
      <c r="AP9" s="77"/>
      <c r="AQ9" s="13"/>
      <c r="AR9" s="7">
        <v>2</v>
      </c>
      <c r="AS9" s="107">
        <v>1002</v>
      </c>
      <c r="AT9" s="107" t="str">
        <f t="shared" si="3"/>
        <v>September</v>
      </c>
      <c r="AU9" s="107" t="s">
        <v>2</v>
      </c>
      <c r="AV9" s="110">
        <f t="shared" si="4"/>
        <v>22</v>
      </c>
      <c r="AW9" s="110">
        <f t="shared" si="5"/>
        <v>1</v>
      </c>
      <c r="AX9" s="110">
        <f t="shared" si="6"/>
        <v>4</v>
      </c>
      <c r="AY9" s="110">
        <f t="shared" ref="AY9:AY27" si="8">$J$8</f>
        <v>4</v>
      </c>
      <c r="AZ9" s="113">
        <f t="shared" ref="AZ9:AZ27" si="9">$K$4</f>
        <v>30</v>
      </c>
      <c r="BA9" s="113">
        <f t="shared" ref="BA9:BA27" si="10">(AZ9-AW9)</f>
        <v>29</v>
      </c>
      <c r="BB9" s="116">
        <v>16000</v>
      </c>
      <c r="BC9" s="123">
        <f>SeptemberReport[[#This Row],[SALARY]]/SeptemberReport[[#This Row],[PAID DAYS]]</f>
        <v>551.72413793103453</v>
      </c>
      <c r="BD9" s="119">
        <f>SeptemberReport[[#This Row],[SALARY]]-SeptemberReport[[#This Row],[ DEDUCTION]]</f>
        <v>15448.275862068966</v>
      </c>
      <c r="BE9" s="121"/>
      <c r="BF9" s="14"/>
      <c r="BG9" s="76"/>
      <c r="BH9" s="4"/>
      <c r="BI9" s="4"/>
      <c r="BJ9" s="4"/>
      <c r="BK9" s="4"/>
      <c r="BL9" s="4"/>
      <c r="BM9" s="4"/>
    </row>
    <row r="10" spans="4:65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7"/>
        <v>4</v>
      </c>
      <c r="K10" s="51" t="s">
        <v>38</v>
      </c>
      <c r="L10" s="51" t="s">
        <v>39</v>
      </c>
      <c r="M10" s="51" t="s">
        <v>38</v>
      </c>
      <c r="N10" s="51" t="s">
        <v>38</v>
      </c>
      <c r="O10" s="51" t="str">
        <f t="shared" si="2"/>
        <v>Wo</v>
      </c>
      <c r="P10" s="51" t="s">
        <v>38</v>
      </c>
      <c r="Q10" s="51" t="s">
        <v>38</v>
      </c>
      <c r="R10" s="51" t="s">
        <v>40</v>
      </c>
      <c r="S10" s="51" t="s">
        <v>38</v>
      </c>
      <c r="T10" s="51" t="s">
        <v>38</v>
      </c>
      <c r="U10" s="51" t="s">
        <v>38</v>
      </c>
      <c r="V10" s="51" t="str">
        <f t="shared" si="2"/>
        <v>Wo</v>
      </c>
      <c r="W10" s="51" t="s">
        <v>38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51" t="str">
        <f t="shared" si="2"/>
        <v>Wo</v>
      </c>
      <c r="AD10" s="65" t="s">
        <v>38</v>
      </c>
      <c r="AE10" s="65" t="s">
        <v>38</v>
      </c>
      <c r="AF10" s="65" t="s">
        <v>40</v>
      </c>
      <c r="AG10" s="65" t="s">
        <v>38</v>
      </c>
      <c r="AH10" s="65" t="s">
        <v>38</v>
      </c>
      <c r="AI10" s="65" t="s">
        <v>38</v>
      </c>
      <c r="AJ10" s="65" t="str">
        <f t="shared" si="2"/>
        <v>Wo</v>
      </c>
      <c r="AK10" s="65" t="s">
        <v>38</v>
      </c>
      <c r="AL10" s="65" t="s">
        <v>38</v>
      </c>
      <c r="AM10" s="65" t="s">
        <v>38</v>
      </c>
      <c r="AN10" s="65" t="s">
        <v>40</v>
      </c>
      <c r="AO10" s="16" t="s">
        <v>38</v>
      </c>
      <c r="AP10" s="77"/>
      <c r="AQ10" s="13"/>
      <c r="AR10" s="7">
        <v>3</v>
      </c>
      <c r="AS10" s="107">
        <v>1003</v>
      </c>
      <c r="AT10" s="107" t="str">
        <f t="shared" si="3"/>
        <v>September</v>
      </c>
      <c r="AU10" s="107" t="s">
        <v>3</v>
      </c>
      <c r="AV10" s="110">
        <f t="shared" si="4"/>
        <v>22</v>
      </c>
      <c r="AW10" s="110">
        <f t="shared" si="5"/>
        <v>1</v>
      </c>
      <c r="AX10" s="110">
        <f t="shared" si="6"/>
        <v>4</v>
      </c>
      <c r="AY10" s="110">
        <f t="shared" si="8"/>
        <v>4</v>
      </c>
      <c r="AZ10" s="113">
        <f t="shared" si="9"/>
        <v>30</v>
      </c>
      <c r="BA10" s="113">
        <f t="shared" si="10"/>
        <v>29</v>
      </c>
      <c r="BB10" s="116">
        <v>18000</v>
      </c>
      <c r="BC10" s="123">
        <f>SeptemberReport[[#This Row],[SALARY]]/SeptemberReport[[#This Row],[PAID DAYS]]</f>
        <v>620.68965517241384</v>
      </c>
      <c r="BD10" s="119">
        <f>SeptemberReport[[#This Row],[SALARY]]-SeptemberReport[[#This Row],[ DEDUCTION]]</f>
        <v>17379.310344827587</v>
      </c>
      <c r="BE10" s="121"/>
      <c r="BF10" s="14"/>
      <c r="BG10" s="76"/>
      <c r="BH10" s="4"/>
      <c r="BI10" s="4"/>
      <c r="BJ10" s="4"/>
      <c r="BK10" s="4"/>
      <c r="BL10" s="4"/>
      <c r="BM10" s="4"/>
    </row>
    <row r="11" spans="4:65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7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2"/>
        <v>Wo</v>
      </c>
      <c r="P11" s="51" t="s">
        <v>38</v>
      </c>
      <c r="Q11" s="51" t="s">
        <v>38</v>
      </c>
      <c r="R11" s="51" t="s">
        <v>40</v>
      </c>
      <c r="S11" s="51" t="s">
        <v>38</v>
      </c>
      <c r="T11" s="51" t="s">
        <v>38</v>
      </c>
      <c r="U11" s="51" t="s">
        <v>38</v>
      </c>
      <c r="V11" s="51" t="str">
        <f t="shared" si="2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38</v>
      </c>
      <c r="AB11" s="51" t="s">
        <v>38</v>
      </c>
      <c r="AC11" s="51" t="str">
        <f t="shared" si="2"/>
        <v>Wo</v>
      </c>
      <c r="AD11" s="65" t="s">
        <v>38</v>
      </c>
      <c r="AE11" s="65" t="s">
        <v>38</v>
      </c>
      <c r="AF11" s="65" t="s">
        <v>40</v>
      </c>
      <c r="AG11" s="65" t="s">
        <v>39</v>
      </c>
      <c r="AH11" s="65" t="s">
        <v>38</v>
      </c>
      <c r="AI11" s="65" t="s">
        <v>38</v>
      </c>
      <c r="AJ11" s="65" t="str">
        <f t="shared" si="2"/>
        <v>Wo</v>
      </c>
      <c r="AK11" s="65" t="s">
        <v>38</v>
      </c>
      <c r="AL11" s="65" t="s">
        <v>38</v>
      </c>
      <c r="AM11" s="65" t="s">
        <v>38</v>
      </c>
      <c r="AN11" s="65" t="s">
        <v>40</v>
      </c>
      <c r="AO11" s="16" t="s">
        <v>38</v>
      </c>
      <c r="AP11" s="77"/>
      <c r="AQ11" s="13"/>
      <c r="AR11" s="7">
        <v>4</v>
      </c>
      <c r="AS11" s="107">
        <v>1004</v>
      </c>
      <c r="AT11" s="107" t="str">
        <f t="shared" si="3"/>
        <v>September</v>
      </c>
      <c r="AU11" s="107" t="s">
        <v>4</v>
      </c>
      <c r="AV11" s="110">
        <f t="shared" si="4"/>
        <v>22</v>
      </c>
      <c r="AW11" s="110">
        <f t="shared" si="5"/>
        <v>1</v>
      </c>
      <c r="AX11" s="110">
        <f t="shared" si="6"/>
        <v>4</v>
      </c>
      <c r="AY11" s="110">
        <f t="shared" si="8"/>
        <v>4</v>
      </c>
      <c r="AZ11" s="113">
        <f t="shared" si="9"/>
        <v>30</v>
      </c>
      <c r="BA11" s="113">
        <f t="shared" si="10"/>
        <v>29</v>
      </c>
      <c r="BB11" s="116">
        <v>21000</v>
      </c>
      <c r="BC11" s="123">
        <f>SeptemberReport[[#This Row],[SALARY]]/SeptemberReport[[#This Row],[PAID DAYS]]</f>
        <v>724.13793103448279</v>
      </c>
      <c r="BD11" s="119">
        <f>SeptemberReport[[#This Row],[SALARY]]-SeptemberReport[[#This Row],[ DEDUCTION]]</f>
        <v>20275.862068965518</v>
      </c>
      <c r="BE11" s="121"/>
      <c r="BF11" s="14"/>
      <c r="BG11" s="76"/>
      <c r="BH11" s="4"/>
      <c r="BI11" s="4"/>
      <c r="BJ11" s="4"/>
      <c r="BK11" s="4"/>
      <c r="BL11" s="4"/>
      <c r="BM11" s="4"/>
    </row>
    <row r="12" spans="4:65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7"/>
        <v>4</v>
      </c>
      <c r="K12" s="51" t="s">
        <v>38</v>
      </c>
      <c r="L12" s="51" t="s">
        <v>38</v>
      </c>
      <c r="M12" s="51" t="s">
        <v>38</v>
      </c>
      <c r="N12" s="51" t="s">
        <v>38</v>
      </c>
      <c r="O12" s="51" t="str">
        <f t="shared" si="2"/>
        <v>Wo</v>
      </c>
      <c r="P12" s="51" t="s">
        <v>38</v>
      </c>
      <c r="Q12" s="51" t="s">
        <v>38</v>
      </c>
      <c r="R12" s="51" t="s">
        <v>40</v>
      </c>
      <c r="S12" s="51" t="s">
        <v>38</v>
      </c>
      <c r="T12" s="51" t="s">
        <v>39</v>
      </c>
      <c r="U12" s="51" t="s">
        <v>38</v>
      </c>
      <c r="V12" s="51" t="str">
        <f t="shared" si="2"/>
        <v>Wo</v>
      </c>
      <c r="W12" s="51" t="s">
        <v>38</v>
      </c>
      <c r="X12" s="51" t="s">
        <v>38</v>
      </c>
      <c r="Y12" s="51" t="s">
        <v>38</v>
      </c>
      <c r="Z12" s="51" t="s">
        <v>40</v>
      </c>
      <c r="AA12" s="51" t="s">
        <v>38</v>
      </c>
      <c r="AB12" s="51" t="s">
        <v>38</v>
      </c>
      <c r="AC12" s="51" t="str">
        <f t="shared" si="2"/>
        <v>Wo</v>
      </c>
      <c r="AD12" s="65" t="s">
        <v>38</v>
      </c>
      <c r="AE12" s="65" t="s">
        <v>38</v>
      </c>
      <c r="AF12" s="65" t="s">
        <v>40</v>
      </c>
      <c r="AG12" s="65" t="s">
        <v>38</v>
      </c>
      <c r="AH12" s="65" t="s">
        <v>38</v>
      </c>
      <c r="AI12" s="65" t="s">
        <v>38</v>
      </c>
      <c r="AJ12" s="65" t="str">
        <f t="shared" si="2"/>
        <v>Wo</v>
      </c>
      <c r="AK12" s="65" t="s">
        <v>39</v>
      </c>
      <c r="AL12" s="65" t="s">
        <v>38</v>
      </c>
      <c r="AM12" s="65" t="s">
        <v>38</v>
      </c>
      <c r="AN12" s="65" t="s">
        <v>40</v>
      </c>
      <c r="AO12" s="16" t="s">
        <v>38</v>
      </c>
      <c r="AP12" s="77"/>
      <c r="AQ12" s="13"/>
      <c r="AR12" s="7">
        <v>5</v>
      </c>
      <c r="AS12" s="107">
        <v>1005</v>
      </c>
      <c r="AT12" s="107" t="str">
        <f t="shared" si="3"/>
        <v>September</v>
      </c>
      <c r="AU12" s="107" t="s">
        <v>5</v>
      </c>
      <c r="AV12" s="110">
        <f t="shared" si="4"/>
        <v>21</v>
      </c>
      <c r="AW12" s="110">
        <f t="shared" si="5"/>
        <v>2</v>
      </c>
      <c r="AX12" s="110">
        <f t="shared" si="6"/>
        <v>4</v>
      </c>
      <c r="AY12" s="110">
        <f t="shared" si="8"/>
        <v>4</v>
      </c>
      <c r="AZ12" s="113">
        <f t="shared" si="9"/>
        <v>30</v>
      </c>
      <c r="BA12" s="113">
        <f t="shared" si="10"/>
        <v>28</v>
      </c>
      <c r="BB12" s="116">
        <v>30000</v>
      </c>
      <c r="BC12" s="123">
        <f>SeptemberReport[[#This Row],[SALARY]]/SeptemberReport[[#This Row],[PAID DAYS]]</f>
        <v>1071.4285714285713</v>
      </c>
      <c r="BD12" s="119">
        <f>SeptemberReport[[#This Row],[SALARY]]-SeptemberReport[[#This Row],[ DEDUCTION]]</f>
        <v>28928.571428571428</v>
      </c>
      <c r="BE12" s="121"/>
      <c r="BF12" s="14"/>
      <c r="BG12" s="76"/>
      <c r="BH12" s="4"/>
      <c r="BI12" s="4"/>
      <c r="BJ12" s="4"/>
      <c r="BK12" s="4"/>
      <c r="BL12" s="4"/>
      <c r="BM12" s="4"/>
    </row>
    <row r="13" spans="4:65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7"/>
        <v>4</v>
      </c>
      <c r="K13" s="51" t="s">
        <v>38</v>
      </c>
      <c r="L13" s="51" t="s">
        <v>39</v>
      </c>
      <c r="M13" s="51" t="s">
        <v>38</v>
      </c>
      <c r="N13" s="51" t="s">
        <v>38</v>
      </c>
      <c r="O13" s="51" t="str">
        <f t="shared" si="2"/>
        <v>Wo</v>
      </c>
      <c r="P13" s="51" t="s">
        <v>38</v>
      </c>
      <c r="Q13" s="51" t="s">
        <v>38</v>
      </c>
      <c r="R13" s="51" t="s">
        <v>40</v>
      </c>
      <c r="S13" s="51" t="s">
        <v>38</v>
      </c>
      <c r="T13" s="51" t="s">
        <v>38</v>
      </c>
      <c r="U13" s="51" t="s">
        <v>38</v>
      </c>
      <c r="V13" s="51" t="str">
        <f t="shared" si="2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38</v>
      </c>
      <c r="AC13" s="51" t="str">
        <f t="shared" si="2"/>
        <v>Wo</v>
      </c>
      <c r="AD13" s="65" t="s">
        <v>39</v>
      </c>
      <c r="AE13" s="65" t="s">
        <v>38</v>
      </c>
      <c r="AF13" s="65" t="s">
        <v>40</v>
      </c>
      <c r="AG13" s="65" t="s">
        <v>38</v>
      </c>
      <c r="AH13" s="65" t="s">
        <v>38</v>
      </c>
      <c r="AI13" s="65" t="s">
        <v>38</v>
      </c>
      <c r="AJ13" s="65" t="str">
        <f t="shared" si="2"/>
        <v>Wo</v>
      </c>
      <c r="AK13" s="65" t="s">
        <v>38</v>
      </c>
      <c r="AL13" s="65" t="s">
        <v>39</v>
      </c>
      <c r="AM13" s="65" t="s">
        <v>38</v>
      </c>
      <c r="AN13" s="65" t="s">
        <v>40</v>
      </c>
      <c r="AO13" s="16" t="s">
        <v>38</v>
      </c>
      <c r="AP13" s="77"/>
      <c r="AQ13" s="13"/>
      <c r="AR13" s="7">
        <v>6</v>
      </c>
      <c r="AS13" s="107">
        <v>1006</v>
      </c>
      <c r="AT13" s="107" t="str">
        <f t="shared" si="3"/>
        <v>September</v>
      </c>
      <c r="AU13" s="107" t="s">
        <v>6</v>
      </c>
      <c r="AV13" s="110">
        <f t="shared" si="4"/>
        <v>20</v>
      </c>
      <c r="AW13" s="110">
        <f t="shared" si="5"/>
        <v>3</v>
      </c>
      <c r="AX13" s="110">
        <f t="shared" si="6"/>
        <v>4</v>
      </c>
      <c r="AY13" s="110">
        <f t="shared" si="8"/>
        <v>4</v>
      </c>
      <c r="AZ13" s="113">
        <f t="shared" si="9"/>
        <v>30</v>
      </c>
      <c r="BA13" s="113">
        <f t="shared" si="10"/>
        <v>27</v>
      </c>
      <c r="BB13" s="116">
        <v>25000</v>
      </c>
      <c r="BC13" s="123">
        <f>SeptemberReport[[#This Row],[SALARY]]/SeptemberReport[[#This Row],[PAID DAYS]]</f>
        <v>925.92592592592598</v>
      </c>
      <c r="BD13" s="119">
        <f>SeptemberReport[[#This Row],[SALARY]]-SeptemberReport[[#This Row],[ DEDUCTION]]</f>
        <v>24074.074074074073</v>
      </c>
      <c r="BE13" s="121"/>
      <c r="BF13" s="14"/>
      <c r="BG13" s="76"/>
      <c r="BH13" s="4"/>
      <c r="BI13" s="4"/>
      <c r="BJ13" s="4"/>
      <c r="BK13" s="4"/>
      <c r="BL13" s="4"/>
      <c r="BM13" s="4"/>
    </row>
    <row r="14" spans="4:65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7"/>
        <v>4</v>
      </c>
      <c r="K14" s="51" t="s">
        <v>38</v>
      </c>
      <c r="L14" s="51" t="s">
        <v>38</v>
      </c>
      <c r="M14" s="51" t="s">
        <v>38</v>
      </c>
      <c r="N14" s="51" t="s">
        <v>38</v>
      </c>
      <c r="O14" s="51" t="str">
        <f t="shared" si="2"/>
        <v>Wo</v>
      </c>
      <c r="P14" s="51" t="s">
        <v>38</v>
      </c>
      <c r="Q14" s="51" t="s">
        <v>38</v>
      </c>
      <c r="R14" s="51" t="s">
        <v>40</v>
      </c>
      <c r="S14" s="51" t="s">
        <v>38</v>
      </c>
      <c r="T14" s="51" t="s">
        <v>38</v>
      </c>
      <c r="U14" s="51" t="s">
        <v>38</v>
      </c>
      <c r="V14" s="51" t="str">
        <f t="shared" si="2"/>
        <v>Wo</v>
      </c>
      <c r="W14" s="51" t="s">
        <v>38</v>
      </c>
      <c r="X14" s="51" t="s">
        <v>39</v>
      </c>
      <c r="Y14" s="51" t="s">
        <v>38</v>
      </c>
      <c r="Z14" s="51" t="s">
        <v>40</v>
      </c>
      <c r="AA14" s="51" t="s">
        <v>38</v>
      </c>
      <c r="AB14" s="51" t="s">
        <v>38</v>
      </c>
      <c r="AC14" s="51" t="str">
        <f t="shared" si="2"/>
        <v>Wo</v>
      </c>
      <c r="AD14" s="65" t="s">
        <v>38</v>
      </c>
      <c r="AE14" s="65" t="s">
        <v>38</v>
      </c>
      <c r="AF14" s="65" t="s">
        <v>40</v>
      </c>
      <c r="AG14" s="65" t="s">
        <v>38</v>
      </c>
      <c r="AH14" s="65" t="s">
        <v>38</v>
      </c>
      <c r="AI14" s="65" t="s">
        <v>38</v>
      </c>
      <c r="AJ14" s="65" t="str">
        <f t="shared" si="2"/>
        <v>Wo</v>
      </c>
      <c r="AK14" s="65" t="s">
        <v>38</v>
      </c>
      <c r="AL14" s="65" t="s">
        <v>38</v>
      </c>
      <c r="AM14" s="65" t="s">
        <v>38</v>
      </c>
      <c r="AN14" s="65" t="s">
        <v>40</v>
      </c>
      <c r="AO14" s="16" t="s">
        <v>38</v>
      </c>
      <c r="AP14" s="77"/>
      <c r="AQ14" s="13"/>
      <c r="AR14" s="7">
        <v>7</v>
      </c>
      <c r="AS14" s="107">
        <v>1007</v>
      </c>
      <c r="AT14" s="107" t="str">
        <f t="shared" si="3"/>
        <v>September</v>
      </c>
      <c r="AU14" s="107" t="s">
        <v>7</v>
      </c>
      <c r="AV14" s="110">
        <f t="shared" si="4"/>
        <v>22</v>
      </c>
      <c r="AW14" s="110">
        <f t="shared" si="5"/>
        <v>1</v>
      </c>
      <c r="AX14" s="110">
        <f t="shared" si="6"/>
        <v>4</v>
      </c>
      <c r="AY14" s="110">
        <f t="shared" si="8"/>
        <v>4</v>
      </c>
      <c r="AZ14" s="113">
        <f t="shared" si="9"/>
        <v>30</v>
      </c>
      <c r="BA14" s="113">
        <f t="shared" si="10"/>
        <v>29</v>
      </c>
      <c r="BB14" s="116">
        <v>30000</v>
      </c>
      <c r="BC14" s="123">
        <f>SeptemberReport[[#This Row],[SALARY]]/SeptemberReport[[#This Row],[PAID DAYS]]</f>
        <v>1034.4827586206898</v>
      </c>
      <c r="BD14" s="119">
        <f>SeptemberReport[[#This Row],[SALARY]]-SeptemberReport[[#This Row],[ DEDUCTION]]</f>
        <v>28965.517241379312</v>
      </c>
      <c r="BE14" s="121"/>
      <c r="BF14" s="14"/>
      <c r="BG14" s="76"/>
      <c r="BH14" s="4"/>
      <c r="BI14" s="4"/>
      <c r="BJ14" s="4"/>
      <c r="BK14" s="4"/>
      <c r="BL14" s="4"/>
      <c r="BM14" s="4"/>
    </row>
    <row r="15" spans="4:65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7"/>
        <v>4</v>
      </c>
      <c r="K15" s="51" t="s">
        <v>38</v>
      </c>
      <c r="L15" s="51" t="s">
        <v>38</v>
      </c>
      <c r="M15" s="51" t="s">
        <v>38</v>
      </c>
      <c r="N15" s="51" t="s">
        <v>38</v>
      </c>
      <c r="O15" s="51" t="str">
        <f t="shared" si="2"/>
        <v>Wo</v>
      </c>
      <c r="P15" s="51" t="s">
        <v>38</v>
      </c>
      <c r="Q15" s="51" t="s">
        <v>38</v>
      </c>
      <c r="R15" s="51" t="s">
        <v>40</v>
      </c>
      <c r="S15" s="51" t="s">
        <v>38</v>
      </c>
      <c r="T15" s="51" t="s">
        <v>38</v>
      </c>
      <c r="U15" s="51" t="s">
        <v>38</v>
      </c>
      <c r="V15" s="51" t="str">
        <f t="shared" si="2"/>
        <v>Wo</v>
      </c>
      <c r="W15" s="51" t="s">
        <v>38</v>
      </c>
      <c r="X15" s="51" t="s">
        <v>38</v>
      </c>
      <c r="Y15" s="51" t="s">
        <v>38</v>
      </c>
      <c r="Z15" s="51" t="s">
        <v>40</v>
      </c>
      <c r="AA15" s="51" t="s">
        <v>38</v>
      </c>
      <c r="AB15" s="51" t="s">
        <v>38</v>
      </c>
      <c r="AC15" s="51" t="str">
        <f t="shared" si="2"/>
        <v>Wo</v>
      </c>
      <c r="AD15" s="65" t="s">
        <v>38</v>
      </c>
      <c r="AE15" s="65" t="s">
        <v>38</v>
      </c>
      <c r="AF15" s="65" t="s">
        <v>40</v>
      </c>
      <c r="AG15" s="65" t="s">
        <v>39</v>
      </c>
      <c r="AH15" s="65" t="s">
        <v>38</v>
      </c>
      <c r="AI15" s="65" t="s">
        <v>38</v>
      </c>
      <c r="AJ15" s="65" t="str">
        <f t="shared" si="2"/>
        <v>Wo</v>
      </c>
      <c r="AK15" s="65" t="s">
        <v>38</v>
      </c>
      <c r="AL15" s="65" t="s">
        <v>38</v>
      </c>
      <c r="AM15" s="65" t="s">
        <v>38</v>
      </c>
      <c r="AN15" s="65" t="s">
        <v>40</v>
      </c>
      <c r="AO15" s="16" t="s">
        <v>38</v>
      </c>
      <c r="AP15" s="77"/>
      <c r="AQ15" s="13"/>
      <c r="AR15" s="7">
        <v>8</v>
      </c>
      <c r="AS15" s="107">
        <v>1008</v>
      </c>
      <c r="AT15" s="107" t="str">
        <f t="shared" si="3"/>
        <v>September</v>
      </c>
      <c r="AU15" s="107" t="s">
        <v>8</v>
      </c>
      <c r="AV15" s="110">
        <f t="shared" si="4"/>
        <v>22</v>
      </c>
      <c r="AW15" s="110">
        <f t="shared" si="5"/>
        <v>1</v>
      </c>
      <c r="AX15" s="110">
        <f t="shared" si="6"/>
        <v>4</v>
      </c>
      <c r="AY15" s="110">
        <f t="shared" si="8"/>
        <v>4</v>
      </c>
      <c r="AZ15" s="113">
        <f t="shared" si="9"/>
        <v>30</v>
      </c>
      <c r="BA15" s="113">
        <f t="shared" si="10"/>
        <v>29</v>
      </c>
      <c r="BB15" s="116">
        <v>35000</v>
      </c>
      <c r="BC15" s="123">
        <f>SeptemberReport[[#This Row],[SALARY]]/SeptemberReport[[#This Row],[PAID DAYS]]</f>
        <v>1206.8965517241379</v>
      </c>
      <c r="BD15" s="119">
        <f>SeptemberReport[[#This Row],[SALARY]]-SeptemberReport[[#This Row],[ DEDUCTION]]</f>
        <v>33793.103448275862</v>
      </c>
      <c r="BE15" s="121"/>
      <c r="BF15" s="14"/>
      <c r="BG15" s="76"/>
      <c r="BH15" s="4"/>
      <c r="BI15" s="4"/>
      <c r="BJ15" s="4"/>
      <c r="BK15" s="4"/>
      <c r="BL15" s="4"/>
      <c r="BM15" s="4"/>
    </row>
    <row r="16" spans="4:65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7"/>
        <v>4</v>
      </c>
      <c r="K16" s="51" t="s">
        <v>39</v>
      </c>
      <c r="L16" s="51" t="s">
        <v>38</v>
      </c>
      <c r="M16" s="51" t="s">
        <v>38</v>
      </c>
      <c r="N16" s="51" t="s">
        <v>38</v>
      </c>
      <c r="O16" s="51" t="str">
        <f t="shared" si="2"/>
        <v>Wo</v>
      </c>
      <c r="P16" s="51" t="s">
        <v>38</v>
      </c>
      <c r="Q16" s="51" t="s">
        <v>38</v>
      </c>
      <c r="R16" s="51" t="s">
        <v>40</v>
      </c>
      <c r="S16" s="51" t="s">
        <v>38</v>
      </c>
      <c r="T16" s="51" t="s">
        <v>38</v>
      </c>
      <c r="U16" s="51" t="s">
        <v>38</v>
      </c>
      <c r="V16" s="51" t="str">
        <f t="shared" si="2"/>
        <v>Wo</v>
      </c>
      <c r="W16" s="51" t="s">
        <v>38</v>
      </c>
      <c r="X16" s="51" t="s">
        <v>38</v>
      </c>
      <c r="Y16" s="51" t="s">
        <v>38</v>
      </c>
      <c r="Z16" s="51" t="s">
        <v>40</v>
      </c>
      <c r="AA16" s="51" t="s">
        <v>38</v>
      </c>
      <c r="AB16" s="51" t="s">
        <v>38</v>
      </c>
      <c r="AC16" s="51" t="str">
        <f t="shared" si="2"/>
        <v>Wo</v>
      </c>
      <c r="AD16" s="65" t="s">
        <v>38</v>
      </c>
      <c r="AE16" s="65" t="s">
        <v>38</v>
      </c>
      <c r="AF16" s="65" t="s">
        <v>40</v>
      </c>
      <c r="AG16" s="65" t="s">
        <v>38</v>
      </c>
      <c r="AH16" s="65" t="s">
        <v>38</v>
      </c>
      <c r="AI16" s="65" t="s">
        <v>39</v>
      </c>
      <c r="AJ16" s="65" t="str">
        <f t="shared" si="2"/>
        <v>Wo</v>
      </c>
      <c r="AK16" s="65" t="s">
        <v>38</v>
      </c>
      <c r="AL16" s="65" t="s">
        <v>38</v>
      </c>
      <c r="AM16" s="65" t="s">
        <v>38</v>
      </c>
      <c r="AN16" s="65" t="s">
        <v>40</v>
      </c>
      <c r="AO16" s="16" t="s">
        <v>38</v>
      </c>
      <c r="AP16" s="77"/>
      <c r="AQ16" s="13"/>
      <c r="AR16" s="7">
        <v>9</v>
      </c>
      <c r="AS16" s="107">
        <v>1009</v>
      </c>
      <c r="AT16" s="107" t="str">
        <f t="shared" si="3"/>
        <v>September</v>
      </c>
      <c r="AU16" s="107" t="s">
        <v>9</v>
      </c>
      <c r="AV16" s="110">
        <f t="shared" si="4"/>
        <v>21</v>
      </c>
      <c r="AW16" s="110">
        <f t="shared" si="5"/>
        <v>2</v>
      </c>
      <c r="AX16" s="110">
        <f t="shared" si="6"/>
        <v>4</v>
      </c>
      <c r="AY16" s="110">
        <f t="shared" si="8"/>
        <v>4</v>
      </c>
      <c r="AZ16" s="113">
        <f t="shared" si="9"/>
        <v>30</v>
      </c>
      <c r="BA16" s="113">
        <f t="shared" si="10"/>
        <v>28</v>
      </c>
      <c r="BB16" s="116">
        <v>18000</v>
      </c>
      <c r="BC16" s="123">
        <f>SeptemberReport[[#This Row],[SALARY]]/SeptemberReport[[#This Row],[PAID DAYS]]</f>
        <v>642.85714285714289</v>
      </c>
      <c r="BD16" s="119">
        <f>SeptemberReport[[#This Row],[SALARY]]-SeptemberReport[[#This Row],[ DEDUCTION]]</f>
        <v>17357.142857142859</v>
      </c>
      <c r="BE16" s="121"/>
      <c r="BF16" s="14"/>
      <c r="BG16" s="76"/>
      <c r="BH16" s="4"/>
      <c r="BI16" s="4"/>
      <c r="BJ16" s="4"/>
      <c r="BK16" s="4"/>
      <c r="BL16" s="4"/>
      <c r="BM16" s="4"/>
    </row>
    <row r="17" spans="4:65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7"/>
        <v>4</v>
      </c>
      <c r="K17" s="51" t="s">
        <v>38</v>
      </c>
      <c r="L17" s="51" t="s">
        <v>38</v>
      </c>
      <c r="M17" s="51" t="s">
        <v>38</v>
      </c>
      <c r="N17" s="51" t="s">
        <v>38</v>
      </c>
      <c r="O17" s="51" t="str">
        <f t="shared" si="2"/>
        <v>Wo</v>
      </c>
      <c r="P17" s="51" t="s">
        <v>38</v>
      </c>
      <c r="Q17" s="51" t="s">
        <v>38</v>
      </c>
      <c r="R17" s="51" t="s">
        <v>40</v>
      </c>
      <c r="S17" s="51" t="s">
        <v>38</v>
      </c>
      <c r="T17" s="51" t="s">
        <v>38</v>
      </c>
      <c r="U17" s="51" t="s">
        <v>38</v>
      </c>
      <c r="V17" s="51" t="str">
        <f t="shared" si="2"/>
        <v>Wo</v>
      </c>
      <c r="W17" s="51" t="s">
        <v>38</v>
      </c>
      <c r="X17" s="51" t="s">
        <v>38</v>
      </c>
      <c r="Y17" s="51" t="s">
        <v>38</v>
      </c>
      <c r="Z17" s="51" t="s">
        <v>40</v>
      </c>
      <c r="AA17" s="51" t="s">
        <v>38</v>
      </c>
      <c r="AB17" s="51" t="s">
        <v>38</v>
      </c>
      <c r="AC17" s="51" t="str">
        <f t="shared" si="2"/>
        <v>Wo</v>
      </c>
      <c r="AD17" s="65" t="s">
        <v>38</v>
      </c>
      <c r="AE17" s="65" t="s">
        <v>38</v>
      </c>
      <c r="AF17" s="65" t="s">
        <v>40</v>
      </c>
      <c r="AG17" s="65" t="s">
        <v>38</v>
      </c>
      <c r="AH17" s="65" t="s">
        <v>38</v>
      </c>
      <c r="AI17" s="65" t="s">
        <v>38</v>
      </c>
      <c r="AJ17" s="65" t="str">
        <f t="shared" si="2"/>
        <v>Wo</v>
      </c>
      <c r="AK17" s="65" t="s">
        <v>38</v>
      </c>
      <c r="AL17" s="65" t="s">
        <v>39</v>
      </c>
      <c r="AM17" s="65" t="s">
        <v>38</v>
      </c>
      <c r="AN17" s="65" t="s">
        <v>40</v>
      </c>
      <c r="AO17" s="16" t="s">
        <v>38</v>
      </c>
      <c r="AP17" s="77"/>
      <c r="AQ17" s="13"/>
      <c r="AR17" s="7">
        <v>10</v>
      </c>
      <c r="AS17" s="107">
        <v>1010</v>
      </c>
      <c r="AT17" s="107" t="str">
        <f t="shared" si="3"/>
        <v>September</v>
      </c>
      <c r="AU17" s="107" t="s">
        <v>10</v>
      </c>
      <c r="AV17" s="110">
        <f t="shared" si="4"/>
        <v>22</v>
      </c>
      <c r="AW17" s="110">
        <f t="shared" si="5"/>
        <v>1</v>
      </c>
      <c r="AX17" s="110">
        <f t="shared" si="6"/>
        <v>4</v>
      </c>
      <c r="AY17" s="110">
        <f t="shared" si="8"/>
        <v>4</v>
      </c>
      <c r="AZ17" s="113">
        <f t="shared" si="9"/>
        <v>30</v>
      </c>
      <c r="BA17" s="113">
        <f t="shared" si="10"/>
        <v>29</v>
      </c>
      <c r="BB17" s="116">
        <v>45000</v>
      </c>
      <c r="BC17" s="123">
        <f>SeptemberReport[[#This Row],[SALARY]]/SeptemberReport[[#This Row],[PAID DAYS]]</f>
        <v>1551.7241379310344</v>
      </c>
      <c r="BD17" s="119">
        <f>SeptemberReport[[#This Row],[SALARY]]-SeptemberReport[[#This Row],[ DEDUCTION]]</f>
        <v>43448.275862068964</v>
      </c>
      <c r="BE17" s="121"/>
      <c r="BF17" s="14"/>
      <c r="BG17" s="76"/>
      <c r="BH17" s="4"/>
      <c r="BI17" s="4"/>
      <c r="BJ17" s="4"/>
      <c r="BK17" s="4"/>
      <c r="BL17" s="4"/>
      <c r="BM17" s="4"/>
    </row>
    <row r="18" spans="4:65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7"/>
        <v>4</v>
      </c>
      <c r="K18" s="51" t="s">
        <v>38</v>
      </c>
      <c r="L18" s="51" t="s">
        <v>38</v>
      </c>
      <c r="M18" s="51" t="s">
        <v>38</v>
      </c>
      <c r="N18" s="51" t="s">
        <v>38</v>
      </c>
      <c r="O18" s="51" t="str">
        <f t="shared" si="2"/>
        <v>Wo</v>
      </c>
      <c r="P18" s="51" t="s">
        <v>38</v>
      </c>
      <c r="Q18" s="51" t="s">
        <v>38</v>
      </c>
      <c r="R18" s="51" t="s">
        <v>40</v>
      </c>
      <c r="S18" s="51" t="s">
        <v>38</v>
      </c>
      <c r="T18" s="51" t="s">
        <v>38</v>
      </c>
      <c r="U18" s="51" t="s">
        <v>38</v>
      </c>
      <c r="V18" s="51" t="str">
        <f t="shared" si="2"/>
        <v>Wo</v>
      </c>
      <c r="W18" s="51" t="s">
        <v>38</v>
      </c>
      <c r="X18" s="51" t="s">
        <v>38</v>
      </c>
      <c r="Y18" s="51" t="s">
        <v>38</v>
      </c>
      <c r="Z18" s="51" t="s">
        <v>40</v>
      </c>
      <c r="AA18" s="51" t="s">
        <v>38</v>
      </c>
      <c r="AB18" s="51" t="s">
        <v>38</v>
      </c>
      <c r="AC18" s="51" t="str">
        <f t="shared" si="2"/>
        <v>Wo</v>
      </c>
      <c r="AD18" s="65" t="s">
        <v>38</v>
      </c>
      <c r="AE18" s="65" t="s">
        <v>39</v>
      </c>
      <c r="AF18" s="65" t="s">
        <v>40</v>
      </c>
      <c r="AG18" s="65" t="s">
        <v>38</v>
      </c>
      <c r="AH18" s="65" t="s">
        <v>39</v>
      </c>
      <c r="AI18" s="65" t="s">
        <v>38</v>
      </c>
      <c r="AJ18" s="65" t="str">
        <f t="shared" si="2"/>
        <v>Wo</v>
      </c>
      <c r="AK18" s="65" t="s">
        <v>38</v>
      </c>
      <c r="AL18" s="65" t="s">
        <v>38</v>
      </c>
      <c r="AM18" s="65" t="s">
        <v>38</v>
      </c>
      <c r="AN18" s="65" t="s">
        <v>40</v>
      </c>
      <c r="AO18" s="16" t="s">
        <v>38</v>
      </c>
      <c r="AP18" s="77"/>
      <c r="AQ18" s="13"/>
      <c r="AR18" s="7">
        <v>11</v>
      </c>
      <c r="AS18" s="107">
        <v>1011</v>
      </c>
      <c r="AT18" s="107" t="str">
        <f t="shared" si="3"/>
        <v>September</v>
      </c>
      <c r="AU18" s="107" t="s">
        <v>11</v>
      </c>
      <c r="AV18" s="110">
        <f t="shared" si="4"/>
        <v>21</v>
      </c>
      <c r="AW18" s="110">
        <f t="shared" si="5"/>
        <v>2</v>
      </c>
      <c r="AX18" s="110">
        <f t="shared" si="6"/>
        <v>4</v>
      </c>
      <c r="AY18" s="110">
        <f t="shared" si="8"/>
        <v>4</v>
      </c>
      <c r="AZ18" s="113">
        <f t="shared" si="9"/>
        <v>30</v>
      </c>
      <c r="BA18" s="113">
        <f t="shared" si="10"/>
        <v>28</v>
      </c>
      <c r="BB18" s="116">
        <v>55000</v>
      </c>
      <c r="BC18" s="123">
        <f>SeptemberReport[[#This Row],[SALARY]]/SeptemberReport[[#This Row],[PAID DAYS]]</f>
        <v>1964.2857142857142</v>
      </c>
      <c r="BD18" s="119">
        <f>SeptemberReport[[#This Row],[SALARY]]-SeptemberReport[[#This Row],[ DEDUCTION]]</f>
        <v>53035.714285714283</v>
      </c>
      <c r="BE18" s="121"/>
      <c r="BF18" s="14"/>
      <c r="BG18" s="76"/>
      <c r="BH18" s="4"/>
      <c r="BI18" s="4"/>
      <c r="BJ18" s="4"/>
      <c r="BK18" s="4"/>
      <c r="BL18" s="4"/>
      <c r="BM18" s="4"/>
    </row>
    <row r="19" spans="4:65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7"/>
        <v>4</v>
      </c>
      <c r="K19" s="51" t="s">
        <v>38</v>
      </c>
      <c r="L19" s="51" t="s">
        <v>38</v>
      </c>
      <c r="M19" s="51" t="s">
        <v>38</v>
      </c>
      <c r="N19" s="51" t="s">
        <v>38</v>
      </c>
      <c r="O19" s="51" t="str">
        <f t="shared" si="2"/>
        <v>Wo</v>
      </c>
      <c r="P19" s="51" t="s">
        <v>38</v>
      </c>
      <c r="Q19" s="51" t="s">
        <v>38</v>
      </c>
      <c r="R19" s="51" t="s">
        <v>40</v>
      </c>
      <c r="S19" s="51" t="s">
        <v>38</v>
      </c>
      <c r="T19" s="51" t="s">
        <v>38</v>
      </c>
      <c r="U19" s="51" t="s">
        <v>38</v>
      </c>
      <c r="V19" s="51" t="str">
        <f t="shared" si="2"/>
        <v>Wo</v>
      </c>
      <c r="W19" s="51" t="s">
        <v>38</v>
      </c>
      <c r="X19" s="51" t="s">
        <v>38</v>
      </c>
      <c r="Y19" s="51" t="s">
        <v>38</v>
      </c>
      <c r="Z19" s="51" t="s">
        <v>40</v>
      </c>
      <c r="AA19" s="51" t="s">
        <v>38</v>
      </c>
      <c r="AB19" s="51" t="s">
        <v>38</v>
      </c>
      <c r="AC19" s="51" t="str">
        <f t="shared" si="2"/>
        <v>Wo</v>
      </c>
      <c r="AD19" s="65" t="s">
        <v>38</v>
      </c>
      <c r="AE19" s="65" t="s">
        <v>38</v>
      </c>
      <c r="AF19" s="65" t="s">
        <v>40</v>
      </c>
      <c r="AG19" s="65" t="s">
        <v>38</v>
      </c>
      <c r="AH19" s="65" t="s">
        <v>38</v>
      </c>
      <c r="AI19" s="65" t="s">
        <v>38</v>
      </c>
      <c r="AJ19" s="65" t="str">
        <f t="shared" si="2"/>
        <v>Wo</v>
      </c>
      <c r="AK19" s="65" t="s">
        <v>38</v>
      </c>
      <c r="AL19" s="65" t="s">
        <v>38</v>
      </c>
      <c r="AM19" s="65" t="s">
        <v>38</v>
      </c>
      <c r="AN19" s="65" t="s">
        <v>40</v>
      </c>
      <c r="AO19" s="16" t="s">
        <v>38</v>
      </c>
      <c r="AP19" s="77"/>
      <c r="AQ19" s="13"/>
      <c r="AR19" s="7">
        <v>12</v>
      </c>
      <c r="AS19" s="107">
        <v>1012</v>
      </c>
      <c r="AT19" s="107" t="str">
        <f t="shared" si="3"/>
        <v>September</v>
      </c>
      <c r="AU19" s="107" t="s">
        <v>12</v>
      </c>
      <c r="AV19" s="110">
        <f t="shared" si="4"/>
        <v>23</v>
      </c>
      <c r="AW19" s="110">
        <f t="shared" si="5"/>
        <v>0</v>
      </c>
      <c r="AX19" s="110">
        <f t="shared" si="6"/>
        <v>4</v>
      </c>
      <c r="AY19" s="110">
        <f t="shared" si="8"/>
        <v>4</v>
      </c>
      <c r="AZ19" s="113">
        <f t="shared" si="9"/>
        <v>30</v>
      </c>
      <c r="BA19" s="113">
        <f t="shared" si="10"/>
        <v>30</v>
      </c>
      <c r="BB19" s="116">
        <v>65000</v>
      </c>
      <c r="BC19" s="123">
        <f>SeptemberReport[[#This Row],[SALARY]]/SeptemberReport[[#This Row],[PAID DAYS]]</f>
        <v>2166.6666666666665</v>
      </c>
      <c r="BD19" s="119">
        <f>SeptemberReport[[#This Row],[SALARY]]-SeptemberReport[[#This Row],[ DEDUCTION]]</f>
        <v>62833.333333333336</v>
      </c>
      <c r="BE19" s="121"/>
      <c r="BF19" s="14"/>
      <c r="BG19" s="76"/>
      <c r="BH19" s="4"/>
      <c r="BI19" s="4"/>
      <c r="BJ19" s="4"/>
      <c r="BK19" s="4"/>
      <c r="BL19" s="4"/>
      <c r="BM19" s="4"/>
    </row>
    <row r="20" spans="4:65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7"/>
        <v>4</v>
      </c>
      <c r="K20" s="51" t="s">
        <v>38</v>
      </c>
      <c r="L20" s="51" t="s">
        <v>38</v>
      </c>
      <c r="M20" s="51" t="s">
        <v>38</v>
      </c>
      <c r="N20" s="51" t="s">
        <v>38</v>
      </c>
      <c r="O20" s="51" t="str">
        <f t="shared" si="2"/>
        <v>Wo</v>
      </c>
      <c r="P20" s="51" t="s">
        <v>38</v>
      </c>
      <c r="Q20" s="51" t="s">
        <v>39</v>
      </c>
      <c r="R20" s="51" t="s">
        <v>40</v>
      </c>
      <c r="S20" s="51" t="s">
        <v>39</v>
      </c>
      <c r="T20" s="51" t="s">
        <v>38</v>
      </c>
      <c r="U20" s="51" t="s">
        <v>39</v>
      </c>
      <c r="V20" s="51" t="str">
        <f t="shared" si="2"/>
        <v>Wo</v>
      </c>
      <c r="W20" s="51" t="s">
        <v>39</v>
      </c>
      <c r="X20" s="51" t="s">
        <v>38</v>
      </c>
      <c r="Y20" s="51" t="s">
        <v>39</v>
      </c>
      <c r="Z20" s="51" t="s">
        <v>40</v>
      </c>
      <c r="AA20" s="51" t="s">
        <v>38</v>
      </c>
      <c r="AB20" s="51" t="s">
        <v>38</v>
      </c>
      <c r="AC20" s="51" t="str">
        <f t="shared" si="2"/>
        <v>Wo</v>
      </c>
      <c r="AD20" s="65" t="s">
        <v>38</v>
      </c>
      <c r="AE20" s="65" t="s">
        <v>38</v>
      </c>
      <c r="AF20" s="65" t="s">
        <v>40</v>
      </c>
      <c r="AG20" s="65" t="s">
        <v>38</v>
      </c>
      <c r="AH20" s="65" t="s">
        <v>38</v>
      </c>
      <c r="AI20" s="65" t="s">
        <v>38</v>
      </c>
      <c r="AJ20" s="65" t="str">
        <f t="shared" si="2"/>
        <v>Wo</v>
      </c>
      <c r="AK20" s="65" t="s">
        <v>38</v>
      </c>
      <c r="AL20" s="65" t="s">
        <v>38</v>
      </c>
      <c r="AM20" s="65" t="s">
        <v>39</v>
      </c>
      <c r="AN20" s="65" t="s">
        <v>40</v>
      </c>
      <c r="AO20" s="16" t="s">
        <v>38</v>
      </c>
      <c r="AP20" s="77"/>
      <c r="AQ20" s="13"/>
      <c r="AR20" s="7">
        <v>13</v>
      </c>
      <c r="AS20" s="107">
        <v>1013</v>
      </c>
      <c r="AT20" s="107" t="str">
        <f t="shared" si="3"/>
        <v>September</v>
      </c>
      <c r="AU20" s="107" t="s">
        <v>13</v>
      </c>
      <c r="AV20" s="110">
        <f t="shared" si="4"/>
        <v>17</v>
      </c>
      <c r="AW20" s="110">
        <f t="shared" si="5"/>
        <v>6</v>
      </c>
      <c r="AX20" s="110">
        <f t="shared" si="6"/>
        <v>4</v>
      </c>
      <c r="AY20" s="110">
        <f t="shared" si="8"/>
        <v>4</v>
      </c>
      <c r="AZ20" s="113">
        <f t="shared" si="9"/>
        <v>30</v>
      </c>
      <c r="BA20" s="113">
        <f t="shared" si="10"/>
        <v>24</v>
      </c>
      <c r="BB20" s="116">
        <v>68000</v>
      </c>
      <c r="BC20" s="123">
        <f>SeptemberReport[[#This Row],[SALARY]]/SeptemberReport[[#This Row],[PAID DAYS]]</f>
        <v>2833.3333333333335</v>
      </c>
      <c r="BD20" s="119">
        <f>SeptemberReport[[#This Row],[SALARY]]-SeptemberReport[[#This Row],[ DEDUCTION]]</f>
        <v>65166.666666666664</v>
      </c>
      <c r="BE20" s="121"/>
      <c r="BF20" s="14"/>
      <c r="BG20" s="76"/>
      <c r="BH20" s="4"/>
      <c r="BI20" s="4"/>
      <c r="BJ20" s="4"/>
      <c r="BK20" s="4"/>
      <c r="BL20" s="4"/>
      <c r="BM20" s="4"/>
    </row>
    <row r="21" spans="4:65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7"/>
        <v>4</v>
      </c>
      <c r="K21" s="51" t="s">
        <v>38</v>
      </c>
      <c r="L21" s="51" t="s">
        <v>38</v>
      </c>
      <c r="M21" s="51" t="s">
        <v>38</v>
      </c>
      <c r="N21" s="51" t="s">
        <v>38</v>
      </c>
      <c r="O21" s="51" t="str">
        <f t="shared" si="2"/>
        <v>Wo</v>
      </c>
      <c r="P21" s="51" t="s">
        <v>38</v>
      </c>
      <c r="Q21" s="51" t="s">
        <v>38</v>
      </c>
      <c r="R21" s="51" t="s">
        <v>40</v>
      </c>
      <c r="S21" s="51" t="s">
        <v>38</v>
      </c>
      <c r="T21" s="51" t="s">
        <v>38</v>
      </c>
      <c r="U21" s="51" t="s">
        <v>38</v>
      </c>
      <c r="V21" s="51" t="str">
        <f t="shared" si="2"/>
        <v>Wo</v>
      </c>
      <c r="W21" s="51" t="s">
        <v>38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51" t="str">
        <f t="shared" si="2"/>
        <v>Wo</v>
      </c>
      <c r="AD21" s="65" t="s">
        <v>38</v>
      </c>
      <c r="AE21" s="65" t="s">
        <v>38</v>
      </c>
      <c r="AF21" s="65" t="s">
        <v>40</v>
      </c>
      <c r="AG21" s="65" t="s">
        <v>38</v>
      </c>
      <c r="AH21" s="65" t="s">
        <v>38</v>
      </c>
      <c r="AI21" s="65" t="s">
        <v>38</v>
      </c>
      <c r="AJ21" s="65" t="str">
        <f t="shared" si="2"/>
        <v>Wo</v>
      </c>
      <c r="AK21" s="65" t="s">
        <v>38</v>
      </c>
      <c r="AL21" s="65" t="s">
        <v>38</v>
      </c>
      <c r="AM21" s="65" t="s">
        <v>38</v>
      </c>
      <c r="AN21" s="65" t="s">
        <v>40</v>
      </c>
      <c r="AO21" s="16" t="s">
        <v>38</v>
      </c>
      <c r="AP21" s="77"/>
      <c r="AQ21" s="13"/>
      <c r="AR21" s="7">
        <v>14</v>
      </c>
      <c r="AS21" s="107">
        <v>1014</v>
      </c>
      <c r="AT21" s="107" t="str">
        <f t="shared" si="3"/>
        <v>September</v>
      </c>
      <c r="AU21" s="107" t="s">
        <v>14</v>
      </c>
      <c r="AV21" s="110">
        <f t="shared" si="4"/>
        <v>23</v>
      </c>
      <c r="AW21" s="110">
        <f t="shared" si="5"/>
        <v>0</v>
      </c>
      <c r="AX21" s="110">
        <f t="shared" si="6"/>
        <v>4</v>
      </c>
      <c r="AY21" s="110">
        <f t="shared" si="8"/>
        <v>4</v>
      </c>
      <c r="AZ21" s="113">
        <f t="shared" si="9"/>
        <v>30</v>
      </c>
      <c r="BA21" s="113">
        <f t="shared" si="10"/>
        <v>30</v>
      </c>
      <c r="BB21" s="116">
        <v>72000</v>
      </c>
      <c r="BC21" s="123">
        <f>SeptemberReport[[#This Row],[SALARY]]/SeptemberReport[[#This Row],[PAID DAYS]]</f>
        <v>2400</v>
      </c>
      <c r="BD21" s="119">
        <f>SeptemberReport[[#This Row],[SALARY]]-SeptemberReport[[#This Row],[ DEDUCTION]]</f>
        <v>69600</v>
      </c>
      <c r="BE21" s="121"/>
      <c r="BF21" s="14"/>
      <c r="BG21" s="76"/>
      <c r="BH21" s="4"/>
      <c r="BI21" s="4"/>
      <c r="BJ21" s="4"/>
      <c r="BK21" s="4"/>
      <c r="BL21" s="4"/>
      <c r="BM21" s="4"/>
    </row>
    <row r="22" spans="4:65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7"/>
        <v>4</v>
      </c>
      <c r="K22" s="51" t="s">
        <v>39</v>
      </c>
      <c r="L22" s="51" t="s">
        <v>38</v>
      </c>
      <c r="M22" s="51" t="s">
        <v>38</v>
      </c>
      <c r="N22" s="51" t="s">
        <v>38</v>
      </c>
      <c r="O22" s="51" t="str">
        <f t="shared" si="2"/>
        <v>Wo</v>
      </c>
      <c r="P22" s="51" t="s">
        <v>38</v>
      </c>
      <c r="Q22" s="51" t="s">
        <v>38</v>
      </c>
      <c r="R22" s="51" t="s">
        <v>40</v>
      </c>
      <c r="S22" s="51" t="s">
        <v>38</v>
      </c>
      <c r="T22" s="51" t="s">
        <v>38</v>
      </c>
      <c r="U22" s="51" t="s">
        <v>38</v>
      </c>
      <c r="V22" s="51" t="str">
        <f t="shared" si="2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51" t="str">
        <f t="shared" si="2"/>
        <v>Wo</v>
      </c>
      <c r="AD22" s="65" t="s">
        <v>38</v>
      </c>
      <c r="AE22" s="65" t="s">
        <v>38</v>
      </c>
      <c r="AF22" s="65" t="s">
        <v>40</v>
      </c>
      <c r="AG22" s="65" t="s">
        <v>38</v>
      </c>
      <c r="AH22" s="65" t="s">
        <v>38</v>
      </c>
      <c r="AI22" s="65" t="s">
        <v>38</v>
      </c>
      <c r="AJ22" s="65" t="str">
        <f t="shared" si="2"/>
        <v>Wo</v>
      </c>
      <c r="AK22" s="65" t="s">
        <v>38</v>
      </c>
      <c r="AL22" s="65" t="s">
        <v>38</v>
      </c>
      <c r="AM22" s="65" t="s">
        <v>38</v>
      </c>
      <c r="AN22" s="65" t="s">
        <v>40</v>
      </c>
      <c r="AO22" s="16" t="s">
        <v>38</v>
      </c>
      <c r="AP22" s="77"/>
      <c r="AQ22" s="13"/>
      <c r="AR22" s="7">
        <v>15</v>
      </c>
      <c r="AS22" s="107">
        <v>1015</v>
      </c>
      <c r="AT22" s="107" t="str">
        <f t="shared" si="3"/>
        <v>September</v>
      </c>
      <c r="AU22" s="107" t="s">
        <v>15</v>
      </c>
      <c r="AV22" s="110">
        <f t="shared" si="4"/>
        <v>22</v>
      </c>
      <c r="AW22" s="110">
        <f t="shared" si="5"/>
        <v>1</v>
      </c>
      <c r="AX22" s="110">
        <f t="shared" si="6"/>
        <v>4</v>
      </c>
      <c r="AY22" s="110">
        <f t="shared" si="8"/>
        <v>4</v>
      </c>
      <c r="AZ22" s="113">
        <f t="shared" si="9"/>
        <v>30</v>
      </c>
      <c r="BA22" s="113">
        <f t="shared" si="10"/>
        <v>29</v>
      </c>
      <c r="BB22" s="116">
        <v>20000</v>
      </c>
      <c r="BC22" s="123">
        <f>SeptemberReport[[#This Row],[SALARY]]/SeptemberReport[[#This Row],[PAID DAYS]]</f>
        <v>689.65517241379314</v>
      </c>
      <c r="BD22" s="119">
        <f>SeptemberReport[[#This Row],[SALARY]]-SeptemberReport[[#This Row],[ DEDUCTION]]</f>
        <v>19310.344827586207</v>
      </c>
      <c r="BE22" s="121"/>
      <c r="BF22" s="14"/>
      <c r="BG22" s="76"/>
      <c r="BH22" s="4"/>
      <c r="BI22" s="4"/>
      <c r="BJ22" s="4"/>
      <c r="BK22" s="4"/>
      <c r="BL22" s="4"/>
      <c r="BM22" s="4"/>
    </row>
    <row r="23" spans="4:65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7"/>
        <v>4</v>
      </c>
      <c r="K23" s="51" t="s">
        <v>38</v>
      </c>
      <c r="L23" s="51" t="s">
        <v>38</v>
      </c>
      <c r="M23" s="51" t="s">
        <v>38</v>
      </c>
      <c r="N23" s="51" t="s">
        <v>38</v>
      </c>
      <c r="O23" s="51" t="str">
        <f t="shared" si="2"/>
        <v>Wo</v>
      </c>
      <c r="P23" s="51" t="s">
        <v>38</v>
      </c>
      <c r="Q23" s="51" t="s">
        <v>38</v>
      </c>
      <c r="R23" s="51" t="s">
        <v>40</v>
      </c>
      <c r="S23" s="51" t="s">
        <v>38</v>
      </c>
      <c r="T23" s="51" t="s">
        <v>38</v>
      </c>
      <c r="U23" s="51" t="s">
        <v>38</v>
      </c>
      <c r="V23" s="51" t="str">
        <f t="shared" si="2"/>
        <v>Wo</v>
      </c>
      <c r="W23" s="51" t="s">
        <v>38</v>
      </c>
      <c r="X23" s="51" t="s">
        <v>38</v>
      </c>
      <c r="Y23" s="51" t="s">
        <v>38</v>
      </c>
      <c r="Z23" s="51" t="s">
        <v>40</v>
      </c>
      <c r="AA23" s="51" t="s">
        <v>38</v>
      </c>
      <c r="AB23" s="51" t="s">
        <v>38</v>
      </c>
      <c r="AC23" s="51" t="str">
        <f t="shared" si="2"/>
        <v>Wo</v>
      </c>
      <c r="AD23" s="65" t="s">
        <v>38</v>
      </c>
      <c r="AE23" s="65" t="s">
        <v>38</v>
      </c>
      <c r="AF23" s="65" t="s">
        <v>40</v>
      </c>
      <c r="AG23" s="65" t="s">
        <v>38</v>
      </c>
      <c r="AH23" s="65" t="s">
        <v>38</v>
      </c>
      <c r="AI23" s="65" t="s">
        <v>38</v>
      </c>
      <c r="AJ23" s="65" t="str">
        <f t="shared" si="2"/>
        <v>Wo</v>
      </c>
      <c r="AK23" s="65" t="s">
        <v>38</v>
      </c>
      <c r="AL23" s="65" t="s">
        <v>38</v>
      </c>
      <c r="AM23" s="65" t="s">
        <v>38</v>
      </c>
      <c r="AN23" s="65" t="s">
        <v>40</v>
      </c>
      <c r="AO23" s="16" t="s">
        <v>38</v>
      </c>
      <c r="AP23" s="77"/>
      <c r="AQ23" s="13"/>
      <c r="AR23" s="7">
        <v>16</v>
      </c>
      <c r="AS23" s="107">
        <v>1016</v>
      </c>
      <c r="AT23" s="107" t="str">
        <f t="shared" si="3"/>
        <v>September</v>
      </c>
      <c r="AU23" s="107" t="s">
        <v>16</v>
      </c>
      <c r="AV23" s="110">
        <f t="shared" si="4"/>
        <v>23</v>
      </c>
      <c r="AW23" s="110">
        <f t="shared" si="5"/>
        <v>0</v>
      </c>
      <c r="AX23" s="110">
        <f t="shared" si="6"/>
        <v>4</v>
      </c>
      <c r="AY23" s="110">
        <f t="shared" si="8"/>
        <v>4</v>
      </c>
      <c r="AZ23" s="113">
        <f t="shared" si="9"/>
        <v>30</v>
      </c>
      <c r="BA23" s="113">
        <f t="shared" si="10"/>
        <v>30</v>
      </c>
      <c r="BB23" s="116">
        <v>56000</v>
      </c>
      <c r="BC23" s="123">
        <f>SeptemberReport[[#This Row],[SALARY]]/SeptemberReport[[#This Row],[PAID DAYS]]</f>
        <v>1866.6666666666667</v>
      </c>
      <c r="BD23" s="119">
        <f>SeptemberReport[[#This Row],[SALARY]]-SeptemberReport[[#This Row],[ DEDUCTION]]</f>
        <v>54133.333333333336</v>
      </c>
      <c r="BE23" s="121"/>
      <c r="BF23" s="14"/>
      <c r="BG23" s="76"/>
      <c r="BH23" s="4"/>
      <c r="BI23" s="4"/>
      <c r="BJ23" s="4"/>
      <c r="BK23" s="4"/>
      <c r="BL23" s="4"/>
      <c r="BM23" s="4"/>
    </row>
    <row r="24" spans="4:65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7"/>
        <v>4</v>
      </c>
      <c r="K24" s="51" t="s">
        <v>38</v>
      </c>
      <c r="L24" s="51" t="s">
        <v>38</v>
      </c>
      <c r="M24" s="51" t="s">
        <v>38</v>
      </c>
      <c r="N24" s="51" t="s">
        <v>38</v>
      </c>
      <c r="O24" s="51" t="str">
        <f t="shared" ref="O24:V27" si="11">IF(O$6="sun","Wo"," ")</f>
        <v>Wo</v>
      </c>
      <c r="P24" s="51" t="s">
        <v>38</v>
      </c>
      <c r="Q24" s="51" t="s">
        <v>38</v>
      </c>
      <c r="R24" s="51" t="s">
        <v>40</v>
      </c>
      <c r="S24" s="51" t="s">
        <v>38</v>
      </c>
      <c r="T24" s="51" t="s">
        <v>38</v>
      </c>
      <c r="U24" s="51" t="s">
        <v>38</v>
      </c>
      <c r="V24" s="51" t="str">
        <f t="shared" si="11"/>
        <v>Wo</v>
      </c>
      <c r="W24" s="51" t="s">
        <v>38</v>
      </c>
      <c r="X24" s="51" t="s">
        <v>38</v>
      </c>
      <c r="Y24" s="51" t="s">
        <v>38</v>
      </c>
      <c r="Z24" s="51" t="s">
        <v>40</v>
      </c>
      <c r="AA24" s="51" t="s">
        <v>38</v>
      </c>
      <c r="AB24" s="51" t="s">
        <v>38</v>
      </c>
      <c r="AC24" s="51" t="str">
        <f t="shared" ref="AC24:AJ27" si="12">IF(AC$6="sun","Wo"," ")</f>
        <v>Wo</v>
      </c>
      <c r="AD24" s="65" t="s">
        <v>38</v>
      </c>
      <c r="AE24" s="65" t="s">
        <v>38</v>
      </c>
      <c r="AF24" s="65" t="s">
        <v>40</v>
      </c>
      <c r="AG24" s="65" t="s">
        <v>38</v>
      </c>
      <c r="AH24" s="65" t="s">
        <v>38</v>
      </c>
      <c r="AI24" s="65" t="s">
        <v>38</v>
      </c>
      <c r="AJ24" s="65" t="str">
        <f t="shared" si="12"/>
        <v>Wo</v>
      </c>
      <c r="AK24" s="65" t="s">
        <v>38</v>
      </c>
      <c r="AL24" s="65" t="s">
        <v>38</v>
      </c>
      <c r="AM24" s="65" t="s">
        <v>38</v>
      </c>
      <c r="AN24" s="65" t="s">
        <v>40</v>
      </c>
      <c r="AO24" s="16" t="s">
        <v>38</v>
      </c>
      <c r="AP24" s="77"/>
      <c r="AQ24" s="13"/>
      <c r="AR24" s="7">
        <v>17</v>
      </c>
      <c r="AS24" s="107">
        <v>1017</v>
      </c>
      <c r="AT24" s="107" t="str">
        <f t="shared" si="3"/>
        <v>September</v>
      </c>
      <c r="AU24" s="107" t="s">
        <v>17</v>
      </c>
      <c r="AV24" s="110">
        <f t="shared" si="4"/>
        <v>23</v>
      </c>
      <c r="AW24" s="110">
        <f t="shared" si="5"/>
        <v>0</v>
      </c>
      <c r="AX24" s="110">
        <f t="shared" si="6"/>
        <v>4</v>
      </c>
      <c r="AY24" s="110">
        <f t="shared" si="8"/>
        <v>4</v>
      </c>
      <c r="AZ24" s="113">
        <f t="shared" si="9"/>
        <v>30</v>
      </c>
      <c r="BA24" s="113">
        <f t="shared" si="10"/>
        <v>30</v>
      </c>
      <c r="BB24" s="116">
        <v>35000</v>
      </c>
      <c r="BC24" s="123">
        <f>SeptemberReport[[#This Row],[SALARY]]/SeptemberReport[[#This Row],[PAID DAYS]]</f>
        <v>1166.6666666666667</v>
      </c>
      <c r="BD24" s="119">
        <f>SeptemberReport[[#This Row],[SALARY]]-SeptemberReport[[#This Row],[ DEDUCTION]]</f>
        <v>33833.333333333336</v>
      </c>
      <c r="BE24" s="121"/>
      <c r="BF24" s="14"/>
      <c r="BG24" s="76"/>
      <c r="BH24" s="4"/>
      <c r="BI24" s="4"/>
      <c r="BJ24" s="4"/>
      <c r="BK24" s="4"/>
      <c r="BL24" s="4"/>
      <c r="BM24" s="4"/>
    </row>
    <row r="25" spans="4:65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7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11"/>
        <v>Wo</v>
      </c>
      <c r="P25" s="51" t="s">
        <v>38</v>
      </c>
      <c r="Q25" s="51" t="s">
        <v>38</v>
      </c>
      <c r="R25" s="51" t="s">
        <v>40</v>
      </c>
      <c r="S25" s="51" t="s">
        <v>38</v>
      </c>
      <c r="T25" s="51" t="s">
        <v>38</v>
      </c>
      <c r="U25" s="51" t="s">
        <v>38</v>
      </c>
      <c r="V25" s="51" t="str">
        <f t="shared" si="11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38</v>
      </c>
      <c r="AB25" s="51" t="s">
        <v>38</v>
      </c>
      <c r="AC25" s="51" t="str">
        <f t="shared" si="12"/>
        <v>Wo</v>
      </c>
      <c r="AD25" s="65" t="s">
        <v>38</v>
      </c>
      <c r="AE25" s="65" t="s">
        <v>38</v>
      </c>
      <c r="AF25" s="65" t="s">
        <v>40</v>
      </c>
      <c r="AG25" s="65" t="s">
        <v>38</v>
      </c>
      <c r="AH25" s="65" t="s">
        <v>38</v>
      </c>
      <c r="AI25" s="65" t="s">
        <v>38</v>
      </c>
      <c r="AJ25" s="65" t="str">
        <f t="shared" si="12"/>
        <v>Wo</v>
      </c>
      <c r="AK25" s="65" t="s">
        <v>38</v>
      </c>
      <c r="AL25" s="65" t="s">
        <v>38</v>
      </c>
      <c r="AM25" s="65" t="s">
        <v>38</v>
      </c>
      <c r="AN25" s="65" t="s">
        <v>40</v>
      </c>
      <c r="AO25" s="16" t="s">
        <v>38</v>
      </c>
      <c r="AP25" s="77"/>
      <c r="AQ25" s="13"/>
      <c r="AR25" s="7">
        <v>18</v>
      </c>
      <c r="AS25" s="107">
        <v>1018</v>
      </c>
      <c r="AT25" s="107" t="str">
        <f t="shared" si="3"/>
        <v>September</v>
      </c>
      <c r="AU25" s="107" t="s">
        <v>18</v>
      </c>
      <c r="AV25" s="110">
        <f t="shared" si="4"/>
        <v>23</v>
      </c>
      <c r="AW25" s="110">
        <f t="shared" si="5"/>
        <v>0</v>
      </c>
      <c r="AX25" s="110">
        <f t="shared" si="6"/>
        <v>4</v>
      </c>
      <c r="AY25" s="110">
        <f t="shared" si="8"/>
        <v>4</v>
      </c>
      <c r="AZ25" s="113">
        <f t="shared" si="9"/>
        <v>30</v>
      </c>
      <c r="BA25" s="113">
        <f t="shared" si="10"/>
        <v>30</v>
      </c>
      <c r="BB25" s="116">
        <v>12000</v>
      </c>
      <c r="BC25" s="123">
        <f>SeptemberReport[[#This Row],[SALARY]]/SeptemberReport[[#This Row],[PAID DAYS]]</f>
        <v>400</v>
      </c>
      <c r="BD25" s="119">
        <f>SeptemberReport[[#This Row],[SALARY]]-SeptemberReport[[#This Row],[ DEDUCTION]]</f>
        <v>11600</v>
      </c>
      <c r="BE25" s="121"/>
      <c r="BF25" s="14"/>
      <c r="BG25" s="76"/>
      <c r="BH25" s="4"/>
      <c r="BI25" s="4"/>
      <c r="BJ25" s="4"/>
      <c r="BK25" s="4"/>
      <c r="BL25" s="4"/>
      <c r="BM25" s="4"/>
    </row>
    <row r="26" spans="4:65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7"/>
        <v>4</v>
      </c>
      <c r="K26" s="51" t="s">
        <v>38</v>
      </c>
      <c r="L26" s="51" t="s">
        <v>38</v>
      </c>
      <c r="M26" s="51" t="s">
        <v>38</v>
      </c>
      <c r="N26" s="51" t="s">
        <v>38</v>
      </c>
      <c r="O26" s="51" t="str">
        <f t="shared" si="11"/>
        <v>Wo</v>
      </c>
      <c r="P26" s="51" t="s">
        <v>38</v>
      </c>
      <c r="Q26" s="51" t="s">
        <v>38</v>
      </c>
      <c r="R26" s="51" t="s">
        <v>40</v>
      </c>
      <c r="S26" s="51" t="s">
        <v>38</v>
      </c>
      <c r="T26" s="51" t="s">
        <v>38</v>
      </c>
      <c r="U26" s="51" t="s">
        <v>38</v>
      </c>
      <c r="V26" s="51" t="str">
        <f t="shared" si="11"/>
        <v>Wo</v>
      </c>
      <c r="W26" s="51" t="s">
        <v>38</v>
      </c>
      <c r="X26" s="51" t="s">
        <v>38</v>
      </c>
      <c r="Y26" s="51" t="s">
        <v>38</v>
      </c>
      <c r="Z26" s="51" t="s">
        <v>40</v>
      </c>
      <c r="AA26" s="51" t="s">
        <v>38</v>
      </c>
      <c r="AB26" s="51" t="s">
        <v>38</v>
      </c>
      <c r="AC26" s="51" t="str">
        <f t="shared" si="12"/>
        <v>Wo</v>
      </c>
      <c r="AD26" s="65" t="s">
        <v>38</v>
      </c>
      <c r="AE26" s="65" t="s">
        <v>38</v>
      </c>
      <c r="AF26" s="65" t="s">
        <v>40</v>
      </c>
      <c r="AG26" s="65" t="s">
        <v>38</v>
      </c>
      <c r="AH26" s="65" t="s">
        <v>38</v>
      </c>
      <c r="AI26" s="65" t="s">
        <v>38</v>
      </c>
      <c r="AJ26" s="65" t="str">
        <f t="shared" si="12"/>
        <v>Wo</v>
      </c>
      <c r="AK26" s="65" t="s">
        <v>38</v>
      </c>
      <c r="AL26" s="65" t="s">
        <v>38</v>
      </c>
      <c r="AM26" s="65" t="s">
        <v>38</v>
      </c>
      <c r="AN26" s="65" t="s">
        <v>40</v>
      </c>
      <c r="AO26" s="16" t="s">
        <v>38</v>
      </c>
      <c r="AP26" s="77"/>
      <c r="AQ26" s="13"/>
      <c r="AR26" s="7">
        <v>19</v>
      </c>
      <c r="AS26" s="107">
        <v>1019</v>
      </c>
      <c r="AT26" s="107" t="str">
        <f t="shared" si="3"/>
        <v>September</v>
      </c>
      <c r="AU26" s="107" t="s">
        <v>19</v>
      </c>
      <c r="AV26" s="110">
        <f t="shared" si="4"/>
        <v>23</v>
      </c>
      <c r="AW26" s="110">
        <f t="shared" si="5"/>
        <v>0</v>
      </c>
      <c r="AX26" s="110">
        <f t="shared" si="6"/>
        <v>4</v>
      </c>
      <c r="AY26" s="110">
        <f t="shared" si="8"/>
        <v>4</v>
      </c>
      <c r="AZ26" s="113">
        <f t="shared" si="9"/>
        <v>30</v>
      </c>
      <c r="BA26" s="113">
        <f t="shared" si="10"/>
        <v>30</v>
      </c>
      <c r="BB26" s="116">
        <v>19000</v>
      </c>
      <c r="BC26" s="123">
        <f>SeptemberReport[[#This Row],[SALARY]]/SeptemberReport[[#This Row],[PAID DAYS]]</f>
        <v>633.33333333333337</v>
      </c>
      <c r="BD26" s="119">
        <f>SeptemberReport[[#This Row],[SALARY]]-SeptemberReport[[#This Row],[ DEDUCTION]]</f>
        <v>18366.666666666668</v>
      </c>
      <c r="BE26" s="121"/>
      <c r="BF26" s="14"/>
      <c r="BG26" s="76"/>
      <c r="BH26" s="4"/>
      <c r="BI26" s="4"/>
      <c r="BJ26" s="4"/>
      <c r="BK26" s="4"/>
      <c r="BL26" s="4"/>
      <c r="BM26" s="4"/>
    </row>
    <row r="27" spans="4:65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7"/>
        <v>4</v>
      </c>
      <c r="K27" s="9" t="s">
        <v>38</v>
      </c>
      <c r="L27" s="9" t="s">
        <v>38</v>
      </c>
      <c r="M27" s="9" t="s">
        <v>38</v>
      </c>
      <c r="N27" s="9" t="s">
        <v>38</v>
      </c>
      <c r="O27" s="9" t="str">
        <f t="shared" si="11"/>
        <v>Wo</v>
      </c>
      <c r="P27" s="9" t="s">
        <v>38</v>
      </c>
      <c r="Q27" s="9" t="s">
        <v>38</v>
      </c>
      <c r="R27" s="9" t="s">
        <v>40</v>
      </c>
      <c r="S27" s="9" t="s">
        <v>38</v>
      </c>
      <c r="T27" s="9" t="s">
        <v>38</v>
      </c>
      <c r="U27" s="9" t="s">
        <v>38</v>
      </c>
      <c r="V27" s="9" t="str">
        <f t="shared" si="11"/>
        <v>Wo</v>
      </c>
      <c r="W27" s="9" t="s">
        <v>38</v>
      </c>
      <c r="X27" s="9" t="s">
        <v>38</v>
      </c>
      <c r="Y27" s="9" t="s">
        <v>38</v>
      </c>
      <c r="Z27" s="9" t="s">
        <v>40</v>
      </c>
      <c r="AA27" s="9" t="s">
        <v>38</v>
      </c>
      <c r="AB27" s="9" t="s">
        <v>38</v>
      </c>
      <c r="AC27" s="9" t="str">
        <f t="shared" si="12"/>
        <v>Wo</v>
      </c>
      <c r="AD27" s="17" t="s">
        <v>38</v>
      </c>
      <c r="AE27" s="17" t="s">
        <v>38</v>
      </c>
      <c r="AF27" s="17" t="s">
        <v>40</v>
      </c>
      <c r="AG27" s="17" t="s">
        <v>38</v>
      </c>
      <c r="AH27" s="17" t="s">
        <v>38</v>
      </c>
      <c r="AI27" s="17" t="s">
        <v>38</v>
      </c>
      <c r="AJ27" s="17" t="str">
        <f t="shared" si="12"/>
        <v>Wo</v>
      </c>
      <c r="AK27" s="17" t="s">
        <v>38</v>
      </c>
      <c r="AL27" s="17" t="s">
        <v>38</v>
      </c>
      <c r="AM27" s="17" t="s">
        <v>38</v>
      </c>
      <c r="AN27" s="17" t="s">
        <v>40</v>
      </c>
      <c r="AO27" s="24" t="s">
        <v>38</v>
      </c>
      <c r="AP27" s="77"/>
      <c r="AQ27" s="13"/>
      <c r="AR27" s="7">
        <v>20</v>
      </c>
      <c r="AS27" s="107">
        <v>1020</v>
      </c>
      <c r="AT27" s="107" t="str">
        <f t="shared" si="3"/>
        <v>September</v>
      </c>
      <c r="AU27" s="107" t="s">
        <v>20</v>
      </c>
      <c r="AV27" s="110">
        <f t="shared" si="4"/>
        <v>23</v>
      </c>
      <c r="AW27" s="110">
        <f t="shared" si="5"/>
        <v>0</v>
      </c>
      <c r="AX27" s="110">
        <f t="shared" si="6"/>
        <v>4</v>
      </c>
      <c r="AY27" s="110">
        <f t="shared" si="8"/>
        <v>4</v>
      </c>
      <c r="AZ27" s="113">
        <f t="shared" si="9"/>
        <v>30</v>
      </c>
      <c r="BA27" s="113">
        <f t="shared" si="10"/>
        <v>30</v>
      </c>
      <c r="BB27" s="116">
        <v>21000</v>
      </c>
      <c r="BC27" s="123">
        <f>SeptemberReport[[#This Row],[SALARY]]/SeptemberReport[[#This Row],[PAID DAYS]]</f>
        <v>700</v>
      </c>
      <c r="BD27" s="119">
        <f>SeptemberReport[[#This Row],[SALARY]]-SeptemberReport[[#This Row],[ DEDUCTION]]</f>
        <v>20300</v>
      </c>
      <c r="BE27" s="121"/>
      <c r="BF27" s="14"/>
      <c r="BG27" s="76"/>
      <c r="BH27" s="4"/>
      <c r="BI27" s="4"/>
      <c r="BJ27" s="4"/>
      <c r="BK27" s="4"/>
      <c r="BL27" s="4"/>
      <c r="BM27" s="4"/>
    </row>
    <row r="28" spans="4:65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75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76"/>
      <c r="BH28" s="4"/>
      <c r="BI28" s="4"/>
      <c r="BJ28" s="4"/>
      <c r="BK28" s="4"/>
      <c r="BL28" s="4"/>
      <c r="BM28" s="4"/>
    </row>
    <row r="29" spans="4:65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75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76"/>
      <c r="BH29" s="4"/>
      <c r="BI29" s="4"/>
      <c r="BJ29" s="4"/>
      <c r="BK29" s="4"/>
      <c r="BL29" s="4"/>
      <c r="BM29" s="4"/>
    </row>
    <row r="30" spans="4:65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75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76"/>
      <c r="BH30" s="4"/>
      <c r="BI30" s="4"/>
      <c r="BJ30" s="4"/>
      <c r="BK30" s="4"/>
      <c r="BL30" s="4"/>
      <c r="BM30" s="4"/>
    </row>
    <row r="31" spans="4:65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75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76"/>
      <c r="BH31" s="4"/>
      <c r="BI31" s="4"/>
      <c r="BJ31" s="4"/>
      <c r="BK31" s="4"/>
      <c r="BL31" s="4"/>
      <c r="BM31" s="4"/>
    </row>
    <row r="32" spans="4:65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75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76"/>
      <c r="BH32" s="4"/>
      <c r="BI32" s="4"/>
      <c r="BJ32" s="4"/>
      <c r="BK32" s="4"/>
      <c r="BL32" s="4"/>
      <c r="BM32" s="4"/>
    </row>
    <row r="33" spans="1:65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75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76"/>
      <c r="BH33" s="4"/>
      <c r="BI33" s="4"/>
      <c r="BJ33" s="4"/>
      <c r="BK33" s="4"/>
      <c r="BL33" s="4"/>
      <c r="BM33" s="4"/>
    </row>
    <row r="34" spans="1:65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75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76"/>
      <c r="BH34" s="4"/>
      <c r="BI34" s="4"/>
      <c r="BJ34" s="4"/>
      <c r="BK34" s="4"/>
      <c r="BL34" s="4"/>
      <c r="BM34" s="4"/>
    </row>
    <row r="35" spans="1:65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75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76"/>
      <c r="BH35" s="4"/>
      <c r="BI35" s="4"/>
      <c r="BJ35" s="4"/>
      <c r="BK35" s="4"/>
      <c r="BL35" s="4"/>
      <c r="BM35" s="4"/>
    </row>
    <row r="36" spans="1:65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0"/>
      <c r="BF36" s="80"/>
      <c r="BG36" s="81"/>
      <c r="BH36" s="4"/>
      <c r="BI36" s="4"/>
      <c r="BJ36" s="4"/>
      <c r="BK36" s="4"/>
      <c r="BL36" s="4"/>
      <c r="BM36" s="4"/>
    </row>
    <row r="37" spans="1:65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</row>
    <row r="38" spans="1:65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</row>
    <row r="39" spans="1:65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</row>
    <row r="40" spans="1:65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</row>
    <row r="41" spans="1:65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</row>
    <row r="42" spans="1:65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</row>
    <row r="43" spans="1:65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</row>
    <row r="44" spans="1:65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</row>
    <row r="45" spans="1:65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</row>
    <row r="46" spans="1:65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</row>
    <row r="47" spans="1:65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</row>
    <row r="48" spans="1:65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</row>
    <row r="49" spans="42:65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</row>
    <row r="50" spans="42:65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</row>
    <row r="51" spans="42:65" ht="30" customHeight="1">
      <c r="AP51" s="4"/>
      <c r="AQ51" s="5"/>
    </row>
    <row r="52" spans="42:65" ht="30" customHeight="1">
      <c r="AP52" s="4"/>
      <c r="AQ52" s="5"/>
    </row>
    <row r="53" spans="42:65" ht="30" customHeight="1">
      <c r="AP53" s="4"/>
      <c r="AQ53" s="5"/>
    </row>
    <row r="54" spans="42:65" ht="30" customHeight="1">
      <c r="AP54" s="4"/>
      <c r="AQ54" s="5"/>
    </row>
    <row r="55" spans="42:65" ht="30" customHeight="1">
      <c r="AP55" s="4"/>
      <c r="AQ55" s="5"/>
    </row>
    <row r="56" spans="42:65" ht="30" customHeight="1">
      <c r="AP56" s="4"/>
      <c r="AQ56" s="5"/>
    </row>
    <row r="57" spans="42:65" ht="30" customHeight="1">
      <c r="AP57" s="4"/>
      <c r="AQ57" s="5"/>
    </row>
    <row r="58" spans="42:65" ht="30" customHeight="1">
      <c r="AP58" s="4"/>
      <c r="AQ58" s="5"/>
    </row>
    <row r="59" spans="42:65" ht="30" customHeight="1">
      <c r="AP59" s="4"/>
      <c r="AQ59" s="5"/>
    </row>
    <row r="60" spans="42:65" ht="30" customHeight="1">
      <c r="AP60" s="4"/>
      <c r="AQ60" s="5"/>
    </row>
    <row r="61" spans="42:65" ht="30" customHeight="1">
      <c r="AP61" s="4"/>
      <c r="AQ61" s="5"/>
    </row>
    <row r="62" spans="42:65" ht="30" customHeight="1"/>
    <row r="63" spans="42:65" ht="30" customHeight="1"/>
    <row r="64" spans="42:65" ht="30" customHeight="1"/>
    <row r="65" ht="30" customHeight="1"/>
  </sheetData>
  <mergeCells count="1">
    <mergeCell ref="G6:I6"/>
  </mergeCells>
  <conditionalFormatting sqref="J6:AO27">
    <cfRule type="containsText" dxfId="18" priority="4" operator="containsText" text="WO">
      <formula>NOT(ISERROR(SEARCH("WO",J6)))</formula>
    </cfRule>
  </conditionalFormatting>
  <conditionalFormatting sqref="K8:AO27">
    <cfRule type="containsText" dxfId="17" priority="1" operator="containsText" text="L">
      <formula>NOT(ISERROR(SEARCH("L",K8)))</formula>
    </cfRule>
    <cfRule type="containsText" dxfId="16" priority="2" operator="containsText" text="A">
      <formula>NOT(ISERROR(SEARCH("A",K8)))</formula>
    </cfRule>
    <cfRule type="containsText" dxfId="15" priority="3" operator="containsText" text="P">
      <formula>NOT(ISERROR(SEARCH("P",K8)))</formula>
    </cfRule>
  </conditionalFormatting>
  <dataValidations count="1">
    <dataValidation type="list" allowBlank="1" showInputMessage="1" showErrorMessage="1" sqref="AD8:AI27 K8:N27 W8:AB27 P8:U27 AK8:AO27" xr:uid="{6F7832B9-E7D6-4C2D-931B-CD16ABC65AA1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BE501A-CCF3-4612-A80C-203933D36073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9B9DBF8-337D-418B-A7BF-2E8AE36AA660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SEPTEMBER!AV8:AY8</xm:f>
              <xm:sqref>BE8</xm:sqref>
            </x14:sparkline>
            <x14:sparkline>
              <xm:f>SEPTEMBER!AV9:AY9</xm:f>
              <xm:sqref>BE9</xm:sqref>
            </x14:sparkline>
            <x14:sparkline>
              <xm:f>SEPTEMBER!AV10:AY10</xm:f>
              <xm:sqref>BE10</xm:sqref>
            </x14:sparkline>
            <x14:sparkline>
              <xm:f>SEPTEMBER!AV11:AY11</xm:f>
              <xm:sqref>BE11</xm:sqref>
            </x14:sparkline>
            <x14:sparkline>
              <xm:f>SEPTEMBER!AV12:AY12</xm:f>
              <xm:sqref>BE12</xm:sqref>
            </x14:sparkline>
            <x14:sparkline>
              <xm:f>SEPTEMBER!AV13:AY13</xm:f>
              <xm:sqref>BE13</xm:sqref>
            </x14:sparkline>
            <x14:sparkline>
              <xm:f>SEPTEMBER!AV14:AY14</xm:f>
              <xm:sqref>BE14</xm:sqref>
            </x14:sparkline>
            <x14:sparkline>
              <xm:f>SEPTEMBER!AV15:AY15</xm:f>
              <xm:sqref>BE15</xm:sqref>
            </x14:sparkline>
            <x14:sparkline>
              <xm:f>SEPTEMBER!AV16:AY16</xm:f>
              <xm:sqref>BE16</xm:sqref>
            </x14:sparkline>
            <x14:sparkline>
              <xm:f>SEPTEMBER!AV17:AY17</xm:f>
              <xm:sqref>BE17</xm:sqref>
            </x14:sparkline>
            <x14:sparkline>
              <xm:f>SEPTEMBER!AV18:AY18</xm:f>
              <xm:sqref>BE18</xm:sqref>
            </x14:sparkline>
            <x14:sparkline>
              <xm:f>SEPTEMBER!AV19:AY19</xm:f>
              <xm:sqref>BE19</xm:sqref>
            </x14:sparkline>
            <x14:sparkline>
              <xm:f>SEPTEMBER!AV20:AY20</xm:f>
              <xm:sqref>BE20</xm:sqref>
            </x14:sparkline>
            <x14:sparkline>
              <xm:f>SEPTEMBER!AV21:AY21</xm:f>
              <xm:sqref>BE21</xm:sqref>
            </x14:sparkline>
            <x14:sparkline>
              <xm:f>SEPTEMBER!AV22:AY22</xm:f>
              <xm:sqref>BE22</xm:sqref>
            </x14:sparkline>
            <x14:sparkline>
              <xm:f>SEPTEMBER!AV23:AY23</xm:f>
              <xm:sqref>BE23</xm:sqref>
            </x14:sparkline>
            <x14:sparkline>
              <xm:f>SEPTEMBER!AV24:AY24</xm:f>
              <xm:sqref>BE24</xm:sqref>
            </x14:sparkline>
            <x14:sparkline>
              <xm:f>SEPTEMBER!AV25:AY25</xm:f>
              <xm:sqref>BE25</xm:sqref>
            </x14:sparkline>
            <x14:sparkline>
              <xm:f>SEPTEMBER!AV26:AY26</xm:f>
              <xm:sqref>BE26</xm:sqref>
            </x14:sparkline>
            <x14:sparkline>
              <xm:f>SEPTEMBER!AV27:AY27</xm:f>
              <xm:sqref>BE27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5C9A-5E28-47B8-AE08-B6C4DE1AA136}">
  <dimension ref="A1:BM65"/>
  <sheetViews>
    <sheetView topLeftCell="AM16" zoomScale="50" zoomScaleNormal="50" workbookViewId="0">
      <selection activeCell="BD7" sqref="BD7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50" width="15.140625" style="3" customWidth="1"/>
    <col min="51" max="51" width="16" style="3" customWidth="1"/>
    <col min="52" max="53" width="16.85546875" style="3" customWidth="1"/>
    <col min="54" max="54" width="26.85546875" style="3" customWidth="1"/>
    <col min="55" max="56" width="22.5703125" style="3" customWidth="1"/>
    <col min="57" max="57" width="28.85546875" style="2" customWidth="1"/>
    <col min="58" max="16384" width="9.140625" style="2"/>
  </cols>
  <sheetData>
    <row r="1" spans="4:65" ht="30" customHeight="1">
      <c r="AP1" s="69"/>
      <c r="AQ1" s="70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  <c r="BF1" s="73"/>
      <c r="BG1" s="74"/>
      <c r="BH1" s="4"/>
      <c r="BI1" s="4"/>
      <c r="BJ1" s="4"/>
      <c r="BK1" s="4"/>
      <c r="BL1" s="4"/>
      <c r="BM1" s="4"/>
    </row>
    <row r="2" spans="4:65" ht="30" customHeight="1" thickBot="1">
      <c r="AP2" s="75"/>
      <c r="AQ2" s="13"/>
      <c r="BF2" s="14"/>
      <c r="BG2" s="76"/>
      <c r="BH2" s="4"/>
      <c r="BI2" s="4"/>
      <c r="BJ2" s="4"/>
      <c r="BK2" s="4"/>
      <c r="BL2" s="4"/>
      <c r="BM2" s="4"/>
    </row>
    <row r="3" spans="4:65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4"/>
      <c r="AP3" s="75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76"/>
      <c r="BH3" s="4"/>
      <c r="BI3" s="4"/>
      <c r="BJ3" s="4"/>
      <c r="BK3" s="4"/>
      <c r="BL3" s="4"/>
      <c r="BM3" s="4"/>
    </row>
    <row r="4" spans="4:65" ht="30" customHeight="1">
      <c r="D4" s="55"/>
      <c r="E4" s="56"/>
      <c r="F4" s="56"/>
      <c r="G4" s="57" t="s">
        <v>24</v>
      </c>
      <c r="H4" s="58"/>
      <c r="I4" s="59">
        <v>45931</v>
      </c>
      <c r="J4" s="60"/>
      <c r="K4" s="12">
        <f>(DATEDIF(I4,O4,"D"))+1</f>
        <v>31</v>
      </c>
      <c r="L4" s="50" t="str">
        <f>TEXT(I4,"MMMM")</f>
        <v>October</v>
      </c>
      <c r="M4" s="12" t="s">
        <v>28</v>
      </c>
      <c r="N4" s="61"/>
      <c r="O4" s="59">
        <f>EOMONTH(I4,0)</f>
        <v>45961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62"/>
      <c r="AP4" s="75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76"/>
      <c r="BH4" s="4"/>
      <c r="BI4" s="4"/>
      <c r="BJ4" s="4"/>
      <c r="BK4" s="4"/>
      <c r="BL4" s="4"/>
      <c r="BM4" s="4"/>
    </row>
    <row r="5" spans="4:65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62"/>
      <c r="AP5" s="75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76"/>
      <c r="BH5" s="4"/>
      <c r="BI5" s="4"/>
      <c r="BJ5" s="4"/>
      <c r="BK5" s="4"/>
      <c r="BL5" s="4"/>
      <c r="BM5" s="4"/>
    </row>
    <row r="6" spans="4:65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20" t="str">
        <f t="shared" si="0"/>
        <v>Fri</v>
      </c>
      <c r="AP6" s="75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76"/>
      <c r="BH6" s="4"/>
      <c r="BI6" s="4"/>
      <c r="BJ6" s="4"/>
      <c r="BK6" s="4"/>
      <c r="BL6" s="4"/>
      <c r="BM6" s="4"/>
    </row>
    <row r="7" spans="4:65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64">
        <f t="shared" si="1"/>
        <v>45676</v>
      </c>
      <c r="AD7" s="64">
        <f t="shared" si="1"/>
        <v>45677</v>
      </c>
      <c r="AE7" s="64">
        <f t="shared" si="1"/>
        <v>45678</v>
      </c>
      <c r="AF7" s="64">
        <f t="shared" si="1"/>
        <v>45679</v>
      </c>
      <c r="AG7" s="64">
        <f t="shared" si="1"/>
        <v>45680</v>
      </c>
      <c r="AH7" s="64">
        <f t="shared" si="1"/>
        <v>45681</v>
      </c>
      <c r="AI7" s="64">
        <f t="shared" si="1"/>
        <v>45682</v>
      </c>
      <c r="AJ7" s="64">
        <f t="shared" si="1"/>
        <v>45683</v>
      </c>
      <c r="AK7" s="64">
        <f t="shared" si="1"/>
        <v>45684</v>
      </c>
      <c r="AL7" s="64">
        <f t="shared" si="1"/>
        <v>45685</v>
      </c>
      <c r="AM7" s="64">
        <f t="shared" si="1"/>
        <v>45686</v>
      </c>
      <c r="AN7" s="64">
        <f t="shared" si="1"/>
        <v>45687</v>
      </c>
      <c r="AO7" s="23">
        <f t="shared" si="1"/>
        <v>45688</v>
      </c>
      <c r="AP7" s="77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9" t="s">
        <v>41</v>
      </c>
      <c r="BE7" s="138" t="s">
        <v>37</v>
      </c>
      <c r="BF7" s="14"/>
      <c r="BG7" s="76"/>
      <c r="BH7" s="4"/>
      <c r="BI7" s="4"/>
      <c r="BJ7" s="4"/>
      <c r="BK7" s="4"/>
      <c r="BL7" s="4"/>
      <c r="BM7" s="4"/>
    </row>
    <row r="8" spans="4:65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39</v>
      </c>
      <c r="L8" s="51" t="s">
        <v>38</v>
      </c>
      <c r="M8" s="51" t="s">
        <v>38</v>
      </c>
      <c r="N8" s="51" t="s">
        <v>38</v>
      </c>
      <c r="O8" s="51" t="str">
        <f t="shared" ref="O8:AJ23" si="2">IF(O$6="sun","Wo"," ")</f>
        <v>Wo</v>
      </c>
      <c r="P8" s="51" t="s">
        <v>39</v>
      </c>
      <c r="Q8" s="51" t="s">
        <v>38</v>
      </c>
      <c r="R8" s="51" t="s">
        <v>38</v>
      </c>
      <c r="S8" s="51" t="s">
        <v>38</v>
      </c>
      <c r="T8" s="51" t="s">
        <v>38</v>
      </c>
      <c r="U8" s="51" t="s">
        <v>38</v>
      </c>
      <c r="V8" s="51" t="str">
        <f t="shared" si="2"/>
        <v>Wo</v>
      </c>
      <c r="W8" s="51" t="s">
        <v>38</v>
      </c>
      <c r="X8" s="51" t="s">
        <v>38</v>
      </c>
      <c r="Y8" s="51" t="s">
        <v>38</v>
      </c>
      <c r="Z8" s="51" t="s">
        <v>38</v>
      </c>
      <c r="AA8" s="51" t="s">
        <v>38</v>
      </c>
      <c r="AB8" s="51" t="s">
        <v>38</v>
      </c>
      <c r="AC8" s="51" t="str">
        <f t="shared" si="2"/>
        <v>Wo</v>
      </c>
      <c r="AD8" s="65" t="s">
        <v>38</v>
      </c>
      <c r="AE8" s="65" t="s">
        <v>38</v>
      </c>
      <c r="AF8" s="65" t="s">
        <v>38</v>
      </c>
      <c r="AG8" s="65" t="s">
        <v>38</v>
      </c>
      <c r="AH8" s="65" t="s">
        <v>38</v>
      </c>
      <c r="AI8" s="65" t="s">
        <v>38</v>
      </c>
      <c r="AJ8" s="65" t="str">
        <f t="shared" si="2"/>
        <v>Wo</v>
      </c>
      <c r="AK8" s="65" t="s">
        <v>38</v>
      </c>
      <c r="AL8" s="65" t="s">
        <v>38</v>
      </c>
      <c r="AM8" s="65" t="s">
        <v>38</v>
      </c>
      <c r="AN8" s="65" t="s">
        <v>38</v>
      </c>
      <c r="AO8" s="16" t="s">
        <v>38</v>
      </c>
      <c r="AP8" s="77"/>
      <c r="AQ8" s="13"/>
      <c r="AR8" s="135">
        <v>1</v>
      </c>
      <c r="AS8" s="106">
        <v>1001</v>
      </c>
      <c r="AT8" s="106" t="str">
        <f t="shared" ref="AT8:AT27" si="3">$L$4</f>
        <v>October</v>
      </c>
      <c r="AU8" s="106" t="s">
        <v>1</v>
      </c>
      <c r="AV8" s="109">
        <f t="shared" ref="AV8:AV27" si="4">COUNTIF($K8:$AO8,"*P*")</f>
        <v>25</v>
      </c>
      <c r="AW8" s="109">
        <f t="shared" ref="AW8:AW27" si="5">COUNTIF($K8:$AO8,"*A*")</f>
        <v>2</v>
      </c>
      <c r="AX8" s="109">
        <f t="shared" ref="AX8:AX27" si="6">COUNTIF($K8:$AO8,"*L*")</f>
        <v>0</v>
      </c>
      <c r="AY8" s="109">
        <f>$J$8</f>
        <v>4</v>
      </c>
      <c r="AZ8" s="112">
        <f>$K$4</f>
        <v>31</v>
      </c>
      <c r="BA8" s="112">
        <f>(AZ8-AW8)</f>
        <v>29</v>
      </c>
      <c r="BB8" s="115">
        <v>15000</v>
      </c>
      <c r="BC8" s="122">
        <f>OctReport[[#This Row],[SALARY]]/OctReport[[#This Row],[PAID DAYS]]</f>
        <v>517.24137931034488</v>
      </c>
      <c r="BD8" s="118">
        <f>OctReport[[#This Row],[SALARY]]-OctReport[[#This Row],[ DEDUCTION]]</f>
        <v>14482.758620689656</v>
      </c>
      <c r="BE8" s="124"/>
      <c r="BF8" s="14"/>
      <c r="BG8" s="76"/>
      <c r="BH8" s="4"/>
      <c r="BI8" s="4"/>
      <c r="BJ8" s="4"/>
      <c r="BK8" s="4"/>
      <c r="BL8" s="4"/>
      <c r="BM8" s="4"/>
    </row>
    <row r="9" spans="4:65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7">COUNTIF($K$6:$AO$6,"sun")</f>
        <v>4</v>
      </c>
      <c r="K9" s="51" t="s">
        <v>38</v>
      </c>
      <c r="L9" s="51" t="s">
        <v>38</v>
      </c>
      <c r="M9" s="51" t="s">
        <v>39</v>
      </c>
      <c r="N9" s="51" t="s">
        <v>38</v>
      </c>
      <c r="O9" s="51" t="str">
        <f t="shared" si="2"/>
        <v>Wo</v>
      </c>
      <c r="P9" s="51" t="s">
        <v>38</v>
      </c>
      <c r="Q9" s="51" t="s">
        <v>39</v>
      </c>
      <c r="R9" s="51" t="s">
        <v>38</v>
      </c>
      <c r="S9" s="51" t="s">
        <v>38</v>
      </c>
      <c r="T9" s="51" t="s">
        <v>38</v>
      </c>
      <c r="U9" s="51" t="s">
        <v>38</v>
      </c>
      <c r="V9" s="51" t="str">
        <f t="shared" si="2"/>
        <v>Wo</v>
      </c>
      <c r="W9" s="51" t="s">
        <v>38</v>
      </c>
      <c r="X9" s="51" t="s">
        <v>38</v>
      </c>
      <c r="Y9" s="51" t="s">
        <v>38</v>
      </c>
      <c r="Z9" s="51" t="s">
        <v>38</v>
      </c>
      <c r="AA9" s="51" t="s">
        <v>38</v>
      </c>
      <c r="AB9" s="51" t="s">
        <v>38</v>
      </c>
      <c r="AC9" s="51" t="str">
        <f t="shared" si="2"/>
        <v>Wo</v>
      </c>
      <c r="AD9" s="65" t="s">
        <v>40</v>
      </c>
      <c r="AE9" s="65" t="s">
        <v>40</v>
      </c>
      <c r="AF9" s="65" t="s">
        <v>40</v>
      </c>
      <c r="AG9" s="65" t="s">
        <v>40</v>
      </c>
      <c r="AH9" s="65" t="s">
        <v>38</v>
      </c>
      <c r="AI9" s="65" t="s">
        <v>38</v>
      </c>
      <c r="AJ9" s="65" t="str">
        <f t="shared" si="2"/>
        <v>Wo</v>
      </c>
      <c r="AK9" s="65" t="s">
        <v>39</v>
      </c>
      <c r="AL9" s="65" t="s">
        <v>39</v>
      </c>
      <c r="AM9" s="65" t="s">
        <v>39</v>
      </c>
      <c r="AN9" s="65" t="s">
        <v>39</v>
      </c>
      <c r="AO9" s="65" t="s">
        <v>39</v>
      </c>
      <c r="AP9" s="77"/>
      <c r="AQ9" s="13"/>
      <c r="AR9" s="7">
        <v>2</v>
      </c>
      <c r="AS9" s="107">
        <v>1002</v>
      </c>
      <c r="AT9" s="107" t="str">
        <f t="shared" si="3"/>
        <v>October</v>
      </c>
      <c r="AU9" s="107" t="s">
        <v>2</v>
      </c>
      <c r="AV9" s="110">
        <f t="shared" si="4"/>
        <v>16</v>
      </c>
      <c r="AW9" s="110">
        <f t="shared" si="5"/>
        <v>7</v>
      </c>
      <c r="AX9" s="110">
        <f t="shared" si="6"/>
        <v>4</v>
      </c>
      <c r="AY9" s="110">
        <f t="shared" ref="AY9:AY27" si="8">$J$8</f>
        <v>4</v>
      </c>
      <c r="AZ9" s="113">
        <f t="shared" ref="AZ9:AZ27" si="9">$K$4</f>
        <v>31</v>
      </c>
      <c r="BA9" s="113">
        <f t="shared" ref="BA9:BA27" si="10">(AZ9-AW9)</f>
        <v>24</v>
      </c>
      <c r="BB9" s="116">
        <v>16000</v>
      </c>
      <c r="BC9" s="123">
        <f>OctReport[[#This Row],[SALARY]]/OctReport[[#This Row],[PAID DAYS]]</f>
        <v>666.66666666666663</v>
      </c>
      <c r="BD9" s="119">
        <f>OctReport[[#This Row],[SALARY]]-OctReport[[#This Row],[ DEDUCTION]]</f>
        <v>15333.333333333334</v>
      </c>
      <c r="BE9" s="121"/>
      <c r="BF9" s="14"/>
      <c r="BG9" s="76"/>
      <c r="BH9" s="4"/>
      <c r="BI9" s="4"/>
      <c r="BJ9" s="4"/>
      <c r="BK9" s="4"/>
      <c r="BL9" s="4"/>
      <c r="BM9" s="4"/>
    </row>
    <row r="10" spans="4:65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7"/>
        <v>4</v>
      </c>
      <c r="K10" s="51" t="s">
        <v>38</v>
      </c>
      <c r="L10" s="51" t="s">
        <v>38</v>
      </c>
      <c r="M10" s="51" t="s">
        <v>38</v>
      </c>
      <c r="N10" s="51" t="s">
        <v>38</v>
      </c>
      <c r="O10" s="51" t="str">
        <f t="shared" si="2"/>
        <v>Wo</v>
      </c>
      <c r="P10" s="51" t="s">
        <v>38</v>
      </c>
      <c r="Q10" s="51" t="s">
        <v>38</v>
      </c>
      <c r="R10" s="51" t="s">
        <v>38</v>
      </c>
      <c r="S10" s="51" t="s">
        <v>38</v>
      </c>
      <c r="T10" s="51" t="s">
        <v>38</v>
      </c>
      <c r="U10" s="51" t="s">
        <v>38</v>
      </c>
      <c r="V10" s="51" t="str">
        <f t="shared" si="2"/>
        <v>Wo</v>
      </c>
      <c r="W10" s="51" t="s">
        <v>39</v>
      </c>
      <c r="X10" s="51" t="s">
        <v>38</v>
      </c>
      <c r="Y10" s="51" t="s">
        <v>38</v>
      </c>
      <c r="Z10" s="51" t="s">
        <v>38</v>
      </c>
      <c r="AA10" s="51" t="s">
        <v>38</v>
      </c>
      <c r="AB10" s="51" t="s">
        <v>38</v>
      </c>
      <c r="AC10" s="51" t="str">
        <f t="shared" si="2"/>
        <v>Wo</v>
      </c>
      <c r="AD10" s="65" t="s">
        <v>38</v>
      </c>
      <c r="AE10" s="65" t="s">
        <v>38</v>
      </c>
      <c r="AF10" s="65" t="s">
        <v>38</v>
      </c>
      <c r="AG10" s="65" t="s">
        <v>38</v>
      </c>
      <c r="AH10" s="65" t="s">
        <v>38</v>
      </c>
      <c r="AI10" s="65" t="s">
        <v>38</v>
      </c>
      <c r="AJ10" s="65" t="str">
        <f t="shared" si="2"/>
        <v>Wo</v>
      </c>
      <c r="AK10" s="65" t="s">
        <v>38</v>
      </c>
      <c r="AL10" s="65" t="s">
        <v>38</v>
      </c>
      <c r="AM10" s="65" t="s">
        <v>38</v>
      </c>
      <c r="AN10" s="65" t="s">
        <v>38</v>
      </c>
      <c r="AO10" s="16" t="s">
        <v>38</v>
      </c>
      <c r="AP10" s="77"/>
      <c r="AQ10" s="13"/>
      <c r="AR10" s="7">
        <v>3</v>
      </c>
      <c r="AS10" s="107">
        <v>1003</v>
      </c>
      <c r="AT10" s="107" t="str">
        <f t="shared" si="3"/>
        <v>October</v>
      </c>
      <c r="AU10" s="107" t="s">
        <v>3</v>
      </c>
      <c r="AV10" s="110">
        <f t="shared" si="4"/>
        <v>26</v>
      </c>
      <c r="AW10" s="110">
        <f t="shared" si="5"/>
        <v>1</v>
      </c>
      <c r="AX10" s="110">
        <f t="shared" si="6"/>
        <v>0</v>
      </c>
      <c r="AY10" s="110">
        <f t="shared" si="8"/>
        <v>4</v>
      </c>
      <c r="AZ10" s="113">
        <f t="shared" si="9"/>
        <v>31</v>
      </c>
      <c r="BA10" s="113">
        <f t="shared" si="10"/>
        <v>30</v>
      </c>
      <c r="BB10" s="116">
        <v>18000</v>
      </c>
      <c r="BC10" s="123">
        <f>OctReport[[#This Row],[SALARY]]/OctReport[[#This Row],[PAID DAYS]]</f>
        <v>600</v>
      </c>
      <c r="BD10" s="119">
        <f>OctReport[[#This Row],[SALARY]]-OctReport[[#This Row],[ DEDUCTION]]</f>
        <v>17400</v>
      </c>
      <c r="BE10" s="121"/>
      <c r="BF10" s="14"/>
      <c r="BG10" s="76"/>
      <c r="BH10" s="4"/>
      <c r="BI10" s="4"/>
      <c r="BJ10" s="4"/>
      <c r="BK10" s="4"/>
      <c r="BL10" s="4"/>
      <c r="BM10" s="4"/>
    </row>
    <row r="11" spans="4:65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7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2"/>
        <v>Wo</v>
      </c>
      <c r="P11" s="51" t="s">
        <v>38</v>
      </c>
      <c r="Q11" s="51" t="s">
        <v>38</v>
      </c>
      <c r="R11" s="51" t="s">
        <v>38</v>
      </c>
      <c r="S11" s="51" t="s">
        <v>38</v>
      </c>
      <c r="T11" s="51" t="s">
        <v>38</v>
      </c>
      <c r="U11" s="51" t="s">
        <v>38</v>
      </c>
      <c r="V11" s="51" t="str">
        <f t="shared" si="2"/>
        <v>Wo</v>
      </c>
      <c r="W11" s="51" t="s">
        <v>38</v>
      </c>
      <c r="X11" s="51" t="s">
        <v>38</v>
      </c>
      <c r="Y11" s="51" t="s">
        <v>38</v>
      </c>
      <c r="Z11" s="51" t="s">
        <v>39</v>
      </c>
      <c r="AA11" s="51" t="s">
        <v>38</v>
      </c>
      <c r="AB11" s="51" t="s">
        <v>39</v>
      </c>
      <c r="AC11" s="51" t="str">
        <f t="shared" si="2"/>
        <v>Wo</v>
      </c>
      <c r="AD11" s="65" t="s">
        <v>38</v>
      </c>
      <c r="AE11" s="65" t="s">
        <v>38</v>
      </c>
      <c r="AF11" s="65" t="s">
        <v>38</v>
      </c>
      <c r="AG11" s="65" t="s">
        <v>38</v>
      </c>
      <c r="AH11" s="65" t="s">
        <v>38</v>
      </c>
      <c r="AI11" s="65" t="s">
        <v>38</v>
      </c>
      <c r="AJ11" s="65" t="str">
        <f t="shared" si="2"/>
        <v>Wo</v>
      </c>
      <c r="AK11" s="65" t="s">
        <v>38</v>
      </c>
      <c r="AL11" s="65" t="s">
        <v>38</v>
      </c>
      <c r="AM11" s="65" t="s">
        <v>38</v>
      </c>
      <c r="AN11" s="65" t="s">
        <v>38</v>
      </c>
      <c r="AO11" s="16" t="s">
        <v>38</v>
      </c>
      <c r="AP11" s="77"/>
      <c r="AQ11" s="13"/>
      <c r="AR11" s="7">
        <v>4</v>
      </c>
      <c r="AS11" s="107">
        <v>1004</v>
      </c>
      <c r="AT11" s="107" t="str">
        <f t="shared" si="3"/>
        <v>October</v>
      </c>
      <c r="AU11" s="107" t="s">
        <v>4</v>
      </c>
      <c r="AV11" s="110">
        <f t="shared" si="4"/>
        <v>25</v>
      </c>
      <c r="AW11" s="110">
        <f t="shared" si="5"/>
        <v>2</v>
      </c>
      <c r="AX11" s="110">
        <f t="shared" si="6"/>
        <v>0</v>
      </c>
      <c r="AY11" s="110">
        <f t="shared" si="8"/>
        <v>4</v>
      </c>
      <c r="AZ11" s="113">
        <f t="shared" si="9"/>
        <v>31</v>
      </c>
      <c r="BA11" s="113">
        <f t="shared" si="10"/>
        <v>29</v>
      </c>
      <c r="BB11" s="116">
        <v>21000</v>
      </c>
      <c r="BC11" s="123">
        <f>OctReport[[#This Row],[SALARY]]/OctReport[[#This Row],[PAID DAYS]]</f>
        <v>724.13793103448279</v>
      </c>
      <c r="BD11" s="119">
        <f>OctReport[[#This Row],[SALARY]]-OctReport[[#This Row],[ DEDUCTION]]</f>
        <v>20275.862068965518</v>
      </c>
      <c r="BE11" s="121"/>
      <c r="BF11" s="14"/>
      <c r="BG11" s="76"/>
      <c r="BH11" s="4"/>
      <c r="BI11" s="4"/>
      <c r="BJ11" s="4"/>
      <c r="BK11" s="4"/>
      <c r="BL11" s="4"/>
      <c r="BM11" s="4"/>
    </row>
    <row r="12" spans="4:65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7"/>
        <v>4</v>
      </c>
      <c r="K12" s="51" t="s">
        <v>38</v>
      </c>
      <c r="L12" s="51" t="s">
        <v>38</v>
      </c>
      <c r="M12" s="51" t="s">
        <v>38</v>
      </c>
      <c r="N12" s="51" t="s">
        <v>38</v>
      </c>
      <c r="O12" s="51" t="str">
        <f t="shared" si="2"/>
        <v>Wo</v>
      </c>
      <c r="P12" s="51" t="s">
        <v>40</v>
      </c>
      <c r="Q12" s="51" t="s">
        <v>40</v>
      </c>
      <c r="R12" s="51" t="s">
        <v>38</v>
      </c>
      <c r="S12" s="51" t="s">
        <v>38</v>
      </c>
      <c r="T12" s="51" t="s">
        <v>38</v>
      </c>
      <c r="U12" s="51" t="s">
        <v>38</v>
      </c>
      <c r="V12" s="51" t="str">
        <f t="shared" si="2"/>
        <v>Wo</v>
      </c>
      <c r="W12" s="51" t="s">
        <v>38</v>
      </c>
      <c r="X12" s="51" t="s">
        <v>39</v>
      </c>
      <c r="Y12" s="51" t="s">
        <v>38</v>
      </c>
      <c r="Z12" s="51" t="s">
        <v>38</v>
      </c>
      <c r="AA12" s="51" t="s">
        <v>38</v>
      </c>
      <c r="AB12" s="51" t="s">
        <v>38</v>
      </c>
      <c r="AC12" s="51" t="str">
        <f t="shared" si="2"/>
        <v>Wo</v>
      </c>
      <c r="AD12" s="65" t="s">
        <v>40</v>
      </c>
      <c r="AE12" s="65" t="s">
        <v>38</v>
      </c>
      <c r="AF12" s="65" t="s">
        <v>38</v>
      </c>
      <c r="AG12" s="65" t="s">
        <v>38</v>
      </c>
      <c r="AH12" s="65" t="s">
        <v>38</v>
      </c>
      <c r="AI12" s="65" t="s">
        <v>38</v>
      </c>
      <c r="AJ12" s="65" t="str">
        <f t="shared" si="2"/>
        <v>Wo</v>
      </c>
      <c r="AK12" s="65" t="s">
        <v>38</v>
      </c>
      <c r="AL12" s="65" t="s">
        <v>38</v>
      </c>
      <c r="AM12" s="65" t="s">
        <v>38</v>
      </c>
      <c r="AN12" s="65" t="s">
        <v>38</v>
      </c>
      <c r="AO12" s="16" t="s">
        <v>38</v>
      </c>
      <c r="AP12" s="77"/>
      <c r="AQ12" s="13"/>
      <c r="AR12" s="7">
        <v>5</v>
      </c>
      <c r="AS12" s="107">
        <v>1005</v>
      </c>
      <c r="AT12" s="107" t="str">
        <f t="shared" si="3"/>
        <v>October</v>
      </c>
      <c r="AU12" s="107" t="s">
        <v>5</v>
      </c>
      <c r="AV12" s="110">
        <f t="shared" si="4"/>
        <v>23</v>
      </c>
      <c r="AW12" s="110">
        <f t="shared" si="5"/>
        <v>1</v>
      </c>
      <c r="AX12" s="110">
        <f t="shared" si="6"/>
        <v>3</v>
      </c>
      <c r="AY12" s="110">
        <f t="shared" si="8"/>
        <v>4</v>
      </c>
      <c r="AZ12" s="113">
        <f t="shared" si="9"/>
        <v>31</v>
      </c>
      <c r="BA12" s="113">
        <f t="shared" si="10"/>
        <v>30</v>
      </c>
      <c r="BB12" s="116">
        <v>30000</v>
      </c>
      <c r="BC12" s="123">
        <f>OctReport[[#This Row],[SALARY]]/OctReport[[#This Row],[PAID DAYS]]</f>
        <v>1000</v>
      </c>
      <c r="BD12" s="119">
        <f>OctReport[[#This Row],[SALARY]]-OctReport[[#This Row],[ DEDUCTION]]</f>
        <v>29000</v>
      </c>
      <c r="BE12" s="121"/>
      <c r="BF12" s="14"/>
      <c r="BG12" s="76"/>
      <c r="BH12" s="4"/>
      <c r="BI12" s="4"/>
      <c r="BJ12" s="4"/>
      <c r="BK12" s="4"/>
      <c r="BL12" s="4"/>
      <c r="BM12" s="4"/>
    </row>
    <row r="13" spans="4:65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7"/>
        <v>4</v>
      </c>
      <c r="K13" s="51" t="s">
        <v>38</v>
      </c>
      <c r="L13" s="51" t="s">
        <v>40</v>
      </c>
      <c r="M13" s="51" t="s">
        <v>40</v>
      </c>
      <c r="N13" s="51" t="s">
        <v>40</v>
      </c>
      <c r="O13" s="51" t="str">
        <f t="shared" si="2"/>
        <v>Wo</v>
      </c>
      <c r="P13" s="51" t="s">
        <v>38</v>
      </c>
      <c r="Q13" s="51" t="s">
        <v>38</v>
      </c>
      <c r="R13" s="51" t="s">
        <v>39</v>
      </c>
      <c r="S13" s="51" t="s">
        <v>39</v>
      </c>
      <c r="T13" s="51" t="s">
        <v>39</v>
      </c>
      <c r="U13" s="51" t="s">
        <v>38</v>
      </c>
      <c r="V13" s="51" t="str">
        <f t="shared" si="2"/>
        <v>Wo</v>
      </c>
      <c r="W13" s="51" t="s">
        <v>38</v>
      </c>
      <c r="X13" s="51" t="s">
        <v>38</v>
      </c>
      <c r="Y13" s="51" t="s">
        <v>38</v>
      </c>
      <c r="Z13" s="51" t="s">
        <v>38</v>
      </c>
      <c r="AA13" s="51" t="s">
        <v>38</v>
      </c>
      <c r="AB13" s="51" t="s">
        <v>38</v>
      </c>
      <c r="AC13" s="51" t="str">
        <f t="shared" si="2"/>
        <v>Wo</v>
      </c>
      <c r="AD13" s="65" t="s">
        <v>38</v>
      </c>
      <c r="AE13" s="65" t="s">
        <v>38</v>
      </c>
      <c r="AF13" s="65" t="s">
        <v>38</v>
      </c>
      <c r="AG13" s="65" t="s">
        <v>38</v>
      </c>
      <c r="AH13" s="65" t="s">
        <v>38</v>
      </c>
      <c r="AI13" s="65" t="s">
        <v>38</v>
      </c>
      <c r="AJ13" s="65" t="str">
        <f t="shared" si="2"/>
        <v>Wo</v>
      </c>
      <c r="AK13" s="65" t="s">
        <v>39</v>
      </c>
      <c r="AL13" s="65" t="s">
        <v>38</v>
      </c>
      <c r="AM13" s="65" t="s">
        <v>38</v>
      </c>
      <c r="AN13" s="65" t="s">
        <v>38</v>
      </c>
      <c r="AO13" s="16" t="s">
        <v>38</v>
      </c>
      <c r="AP13" s="77"/>
      <c r="AQ13" s="13"/>
      <c r="AR13" s="7">
        <v>6</v>
      </c>
      <c r="AS13" s="107">
        <v>1006</v>
      </c>
      <c r="AT13" s="107" t="str">
        <f t="shared" si="3"/>
        <v>October</v>
      </c>
      <c r="AU13" s="107" t="s">
        <v>6</v>
      </c>
      <c r="AV13" s="110">
        <f t="shared" si="4"/>
        <v>20</v>
      </c>
      <c r="AW13" s="110">
        <f t="shared" si="5"/>
        <v>4</v>
      </c>
      <c r="AX13" s="110">
        <f t="shared" si="6"/>
        <v>3</v>
      </c>
      <c r="AY13" s="110">
        <f t="shared" si="8"/>
        <v>4</v>
      </c>
      <c r="AZ13" s="113">
        <f t="shared" si="9"/>
        <v>31</v>
      </c>
      <c r="BA13" s="113">
        <f t="shared" si="10"/>
        <v>27</v>
      </c>
      <c r="BB13" s="116">
        <v>25000</v>
      </c>
      <c r="BC13" s="123">
        <f>OctReport[[#This Row],[SALARY]]/OctReport[[#This Row],[PAID DAYS]]</f>
        <v>925.92592592592598</v>
      </c>
      <c r="BD13" s="119">
        <f>OctReport[[#This Row],[SALARY]]-OctReport[[#This Row],[ DEDUCTION]]</f>
        <v>24074.074074074073</v>
      </c>
      <c r="BE13" s="121"/>
      <c r="BF13" s="14"/>
      <c r="BG13" s="76"/>
      <c r="BH13" s="4"/>
      <c r="BI13" s="4"/>
      <c r="BJ13" s="4"/>
      <c r="BK13" s="4"/>
      <c r="BL13" s="4"/>
      <c r="BM13" s="4"/>
    </row>
    <row r="14" spans="4:65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7"/>
        <v>4</v>
      </c>
      <c r="K14" s="51" t="s">
        <v>39</v>
      </c>
      <c r="L14" s="51" t="s">
        <v>38</v>
      </c>
      <c r="M14" s="51" t="s">
        <v>38</v>
      </c>
      <c r="N14" s="51" t="s">
        <v>38</v>
      </c>
      <c r="O14" s="51" t="str">
        <f t="shared" si="2"/>
        <v>Wo</v>
      </c>
      <c r="P14" s="51" t="s">
        <v>38</v>
      </c>
      <c r="Q14" s="51" t="s">
        <v>38</v>
      </c>
      <c r="R14" s="51" t="s">
        <v>38</v>
      </c>
      <c r="S14" s="51" t="s">
        <v>38</v>
      </c>
      <c r="T14" s="51" t="s">
        <v>38</v>
      </c>
      <c r="U14" s="51" t="s">
        <v>38</v>
      </c>
      <c r="V14" s="51" t="str">
        <f t="shared" si="2"/>
        <v>Wo</v>
      </c>
      <c r="W14" s="51" t="s">
        <v>38</v>
      </c>
      <c r="X14" s="51" t="s">
        <v>38</v>
      </c>
      <c r="Y14" s="51" t="s">
        <v>38</v>
      </c>
      <c r="Z14" s="51" t="s">
        <v>38</v>
      </c>
      <c r="AA14" s="51" t="s">
        <v>39</v>
      </c>
      <c r="AB14" s="51" t="s">
        <v>38</v>
      </c>
      <c r="AC14" s="51" t="str">
        <f t="shared" si="2"/>
        <v>Wo</v>
      </c>
      <c r="AD14" s="65" t="s">
        <v>38</v>
      </c>
      <c r="AE14" s="65" t="s">
        <v>38</v>
      </c>
      <c r="AF14" s="65" t="s">
        <v>38</v>
      </c>
      <c r="AG14" s="65" t="s">
        <v>38</v>
      </c>
      <c r="AH14" s="65" t="s">
        <v>38</v>
      </c>
      <c r="AI14" s="65" t="s">
        <v>38</v>
      </c>
      <c r="AJ14" s="65" t="str">
        <f t="shared" si="2"/>
        <v>Wo</v>
      </c>
      <c r="AK14" s="65" t="s">
        <v>38</v>
      </c>
      <c r="AL14" s="65" t="s">
        <v>38</v>
      </c>
      <c r="AM14" s="65" t="s">
        <v>38</v>
      </c>
      <c r="AN14" s="65" t="s">
        <v>38</v>
      </c>
      <c r="AO14" s="16" t="s">
        <v>38</v>
      </c>
      <c r="AP14" s="77"/>
      <c r="AQ14" s="13"/>
      <c r="AR14" s="7">
        <v>7</v>
      </c>
      <c r="AS14" s="107">
        <v>1007</v>
      </c>
      <c r="AT14" s="107" t="str">
        <f t="shared" si="3"/>
        <v>October</v>
      </c>
      <c r="AU14" s="107" t="s">
        <v>7</v>
      </c>
      <c r="AV14" s="110">
        <f t="shared" si="4"/>
        <v>25</v>
      </c>
      <c r="AW14" s="110">
        <f t="shared" si="5"/>
        <v>2</v>
      </c>
      <c r="AX14" s="110">
        <f t="shared" si="6"/>
        <v>0</v>
      </c>
      <c r="AY14" s="110">
        <f t="shared" si="8"/>
        <v>4</v>
      </c>
      <c r="AZ14" s="113">
        <f t="shared" si="9"/>
        <v>31</v>
      </c>
      <c r="BA14" s="113">
        <f t="shared" si="10"/>
        <v>29</v>
      </c>
      <c r="BB14" s="116">
        <v>30000</v>
      </c>
      <c r="BC14" s="123">
        <f>OctReport[[#This Row],[SALARY]]/OctReport[[#This Row],[PAID DAYS]]</f>
        <v>1034.4827586206898</v>
      </c>
      <c r="BD14" s="119">
        <f>OctReport[[#This Row],[SALARY]]-OctReport[[#This Row],[ DEDUCTION]]</f>
        <v>28965.517241379312</v>
      </c>
      <c r="BE14" s="121"/>
      <c r="BF14" s="14"/>
      <c r="BG14" s="76"/>
      <c r="BH14" s="4"/>
      <c r="BI14" s="4"/>
      <c r="BJ14" s="4"/>
      <c r="BK14" s="4"/>
      <c r="BL14" s="4"/>
      <c r="BM14" s="4"/>
    </row>
    <row r="15" spans="4:65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7"/>
        <v>4</v>
      </c>
      <c r="K15" s="51" t="s">
        <v>38</v>
      </c>
      <c r="L15" s="51" t="s">
        <v>38</v>
      </c>
      <c r="M15" s="51" t="s">
        <v>38</v>
      </c>
      <c r="N15" s="51" t="s">
        <v>38</v>
      </c>
      <c r="O15" s="51" t="str">
        <f t="shared" si="2"/>
        <v>Wo</v>
      </c>
      <c r="P15" s="51" t="s">
        <v>38</v>
      </c>
      <c r="Q15" s="51" t="s">
        <v>38</v>
      </c>
      <c r="R15" s="51" t="s">
        <v>38</v>
      </c>
      <c r="S15" s="51" t="s">
        <v>38</v>
      </c>
      <c r="T15" s="51" t="s">
        <v>38</v>
      </c>
      <c r="U15" s="51" t="s">
        <v>38</v>
      </c>
      <c r="V15" s="51" t="str">
        <f t="shared" si="2"/>
        <v>Wo</v>
      </c>
      <c r="W15" s="51" t="s">
        <v>38</v>
      </c>
      <c r="X15" s="51" t="s">
        <v>38</v>
      </c>
      <c r="Y15" s="51" t="s">
        <v>38</v>
      </c>
      <c r="Z15" s="51" t="s">
        <v>39</v>
      </c>
      <c r="AA15" s="51" t="s">
        <v>38</v>
      </c>
      <c r="AB15" s="51" t="s">
        <v>38</v>
      </c>
      <c r="AC15" s="51" t="str">
        <f t="shared" si="2"/>
        <v>Wo</v>
      </c>
      <c r="AD15" s="65" t="s">
        <v>40</v>
      </c>
      <c r="AE15" s="65" t="s">
        <v>40</v>
      </c>
      <c r="AF15" s="65" t="s">
        <v>40</v>
      </c>
      <c r="AG15" s="65" t="s">
        <v>40</v>
      </c>
      <c r="AH15" s="65" t="s">
        <v>40</v>
      </c>
      <c r="AI15" s="65" t="s">
        <v>38</v>
      </c>
      <c r="AJ15" s="65" t="str">
        <f t="shared" si="2"/>
        <v>Wo</v>
      </c>
      <c r="AK15" s="65" t="s">
        <v>38</v>
      </c>
      <c r="AL15" s="65" t="s">
        <v>38</v>
      </c>
      <c r="AM15" s="65" t="s">
        <v>39</v>
      </c>
      <c r="AN15" s="65" t="s">
        <v>38</v>
      </c>
      <c r="AO15" s="16" t="s">
        <v>38</v>
      </c>
      <c r="AP15" s="77"/>
      <c r="AQ15" s="13"/>
      <c r="AR15" s="7">
        <v>8</v>
      </c>
      <c r="AS15" s="107">
        <v>1008</v>
      </c>
      <c r="AT15" s="107" t="str">
        <f t="shared" si="3"/>
        <v>October</v>
      </c>
      <c r="AU15" s="107" t="s">
        <v>8</v>
      </c>
      <c r="AV15" s="110">
        <f t="shared" si="4"/>
        <v>20</v>
      </c>
      <c r="AW15" s="110">
        <f t="shared" si="5"/>
        <v>2</v>
      </c>
      <c r="AX15" s="110">
        <f t="shared" si="6"/>
        <v>5</v>
      </c>
      <c r="AY15" s="110">
        <f t="shared" si="8"/>
        <v>4</v>
      </c>
      <c r="AZ15" s="113">
        <f t="shared" si="9"/>
        <v>31</v>
      </c>
      <c r="BA15" s="113">
        <f t="shared" si="10"/>
        <v>29</v>
      </c>
      <c r="BB15" s="116">
        <v>35000</v>
      </c>
      <c r="BC15" s="123">
        <f>OctReport[[#This Row],[SALARY]]/OctReport[[#This Row],[PAID DAYS]]</f>
        <v>1206.8965517241379</v>
      </c>
      <c r="BD15" s="119">
        <f>OctReport[[#This Row],[SALARY]]-OctReport[[#This Row],[ DEDUCTION]]</f>
        <v>33793.103448275862</v>
      </c>
      <c r="BE15" s="121"/>
      <c r="BF15" s="14"/>
      <c r="BG15" s="76"/>
      <c r="BH15" s="4"/>
      <c r="BI15" s="4"/>
      <c r="BJ15" s="4"/>
      <c r="BK15" s="4"/>
      <c r="BL15" s="4"/>
      <c r="BM15" s="4"/>
    </row>
    <row r="16" spans="4:65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7"/>
        <v>4</v>
      </c>
      <c r="K16" s="51" t="s">
        <v>38</v>
      </c>
      <c r="L16" s="51" t="s">
        <v>38</v>
      </c>
      <c r="M16" s="51" t="s">
        <v>39</v>
      </c>
      <c r="N16" s="51" t="s">
        <v>38</v>
      </c>
      <c r="O16" s="51" t="str">
        <f t="shared" si="2"/>
        <v>Wo</v>
      </c>
      <c r="P16" s="51" t="s">
        <v>38</v>
      </c>
      <c r="Q16" s="51" t="s">
        <v>38</v>
      </c>
      <c r="R16" s="51" t="s">
        <v>39</v>
      </c>
      <c r="S16" s="51" t="s">
        <v>39</v>
      </c>
      <c r="T16" s="51" t="s">
        <v>39</v>
      </c>
      <c r="U16" s="51" t="s">
        <v>38</v>
      </c>
      <c r="V16" s="51" t="str">
        <f t="shared" si="2"/>
        <v>Wo</v>
      </c>
      <c r="W16" s="51" t="s">
        <v>38</v>
      </c>
      <c r="X16" s="51" t="s">
        <v>39</v>
      </c>
      <c r="Y16" s="51" t="s">
        <v>38</v>
      </c>
      <c r="Z16" s="51" t="s">
        <v>38</v>
      </c>
      <c r="AA16" s="51" t="s">
        <v>38</v>
      </c>
      <c r="AB16" s="51" t="s">
        <v>38</v>
      </c>
      <c r="AC16" s="51" t="str">
        <f t="shared" si="2"/>
        <v>Wo</v>
      </c>
      <c r="AD16" s="65" t="s">
        <v>38</v>
      </c>
      <c r="AE16" s="65" t="s">
        <v>38</v>
      </c>
      <c r="AF16" s="65" t="s">
        <v>38</v>
      </c>
      <c r="AG16" s="65" t="s">
        <v>38</v>
      </c>
      <c r="AH16" s="65" t="s">
        <v>38</v>
      </c>
      <c r="AI16" s="65" t="s">
        <v>38</v>
      </c>
      <c r="AJ16" s="65" t="str">
        <f t="shared" si="2"/>
        <v>Wo</v>
      </c>
      <c r="AK16" s="65" t="s">
        <v>38</v>
      </c>
      <c r="AL16" s="65" t="s">
        <v>38</v>
      </c>
      <c r="AM16" s="65" t="s">
        <v>38</v>
      </c>
      <c r="AN16" s="65" t="s">
        <v>38</v>
      </c>
      <c r="AO16" s="16" t="s">
        <v>38</v>
      </c>
      <c r="AP16" s="77"/>
      <c r="AQ16" s="13"/>
      <c r="AR16" s="7">
        <v>9</v>
      </c>
      <c r="AS16" s="107">
        <v>1009</v>
      </c>
      <c r="AT16" s="107" t="str">
        <f t="shared" si="3"/>
        <v>October</v>
      </c>
      <c r="AU16" s="107" t="s">
        <v>9</v>
      </c>
      <c r="AV16" s="110">
        <f t="shared" si="4"/>
        <v>22</v>
      </c>
      <c r="AW16" s="110">
        <f t="shared" si="5"/>
        <v>5</v>
      </c>
      <c r="AX16" s="110">
        <f t="shared" si="6"/>
        <v>0</v>
      </c>
      <c r="AY16" s="110">
        <f t="shared" si="8"/>
        <v>4</v>
      </c>
      <c r="AZ16" s="113">
        <f t="shared" si="9"/>
        <v>31</v>
      </c>
      <c r="BA16" s="113">
        <f t="shared" si="10"/>
        <v>26</v>
      </c>
      <c r="BB16" s="116">
        <v>18000</v>
      </c>
      <c r="BC16" s="123">
        <f>OctReport[[#This Row],[SALARY]]/OctReport[[#This Row],[PAID DAYS]]</f>
        <v>692.30769230769226</v>
      </c>
      <c r="BD16" s="119">
        <f>OctReport[[#This Row],[SALARY]]-OctReport[[#This Row],[ DEDUCTION]]</f>
        <v>17307.692307692309</v>
      </c>
      <c r="BE16" s="121"/>
      <c r="BF16" s="14"/>
      <c r="BG16" s="76"/>
      <c r="BH16" s="4"/>
      <c r="BI16" s="4"/>
      <c r="BJ16" s="4"/>
      <c r="BK16" s="4"/>
      <c r="BL16" s="4"/>
      <c r="BM16" s="4"/>
    </row>
    <row r="17" spans="4:65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7"/>
        <v>4</v>
      </c>
      <c r="K17" s="51" t="s">
        <v>38</v>
      </c>
      <c r="L17" s="51" t="s">
        <v>38</v>
      </c>
      <c r="M17" s="51" t="s">
        <v>38</v>
      </c>
      <c r="N17" s="51" t="s">
        <v>38</v>
      </c>
      <c r="O17" s="51" t="str">
        <f t="shared" si="2"/>
        <v>Wo</v>
      </c>
      <c r="P17" s="51" t="s">
        <v>38</v>
      </c>
      <c r="Q17" s="51" t="s">
        <v>38</v>
      </c>
      <c r="R17" s="51" t="s">
        <v>38</v>
      </c>
      <c r="S17" s="51" t="s">
        <v>38</v>
      </c>
      <c r="T17" s="51" t="s">
        <v>38</v>
      </c>
      <c r="U17" s="51" t="s">
        <v>38</v>
      </c>
      <c r="V17" s="51" t="str">
        <f t="shared" si="2"/>
        <v>Wo</v>
      </c>
      <c r="W17" s="51" t="s">
        <v>38</v>
      </c>
      <c r="X17" s="51" t="s">
        <v>38</v>
      </c>
      <c r="Y17" s="51" t="s">
        <v>38</v>
      </c>
      <c r="Z17" s="51" t="s">
        <v>38</v>
      </c>
      <c r="AA17" s="51" t="s">
        <v>38</v>
      </c>
      <c r="AB17" s="51" t="s">
        <v>38</v>
      </c>
      <c r="AC17" s="51" t="str">
        <f t="shared" si="2"/>
        <v>Wo</v>
      </c>
      <c r="AD17" s="65" t="s">
        <v>38</v>
      </c>
      <c r="AE17" s="65" t="s">
        <v>38</v>
      </c>
      <c r="AF17" s="65" t="s">
        <v>38</v>
      </c>
      <c r="AG17" s="65" t="s">
        <v>38</v>
      </c>
      <c r="AH17" s="65" t="s">
        <v>38</v>
      </c>
      <c r="AI17" s="65" t="s">
        <v>38</v>
      </c>
      <c r="AJ17" s="65" t="str">
        <f t="shared" si="2"/>
        <v>Wo</v>
      </c>
      <c r="AK17" s="65" t="s">
        <v>38</v>
      </c>
      <c r="AL17" s="65" t="s">
        <v>38</v>
      </c>
      <c r="AM17" s="65" t="s">
        <v>38</v>
      </c>
      <c r="AN17" s="65" t="s">
        <v>38</v>
      </c>
      <c r="AO17" s="16" t="s">
        <v>39</v>
      </c>
      <c r="AP17" s="77"/>
      <c r="AQ17" s="13"/>
      <c r="AR17" s="7">
        <v>10</v>
      </c>
      <c r="AS17" s="107">
        <v>1010</v>
      </c>
      <c r="AT17" s="107" t="str">
        <f t="shared" si="3"/>
        <v>October</v>
      </c>
      <c r="AU17" s="107" t="s">
        <v>10</v>
      </c>
      <c r="AV17" s="110">
        <f t="shared" si="4"/>
        <v>26</v>
      </c>
      <c r="AW17" s="110">
        <f t="shared" si="5"/>
        <v>1</v>
      </c>
      <c r="AX17" s="110">
        <f t="shared" si="6"/>
        <v>0</v>
      </c>
      <c r="AY17" s="110">
        <f t="shared" si="8"/>
        <v>4</v>
      </c>
      <c r="AZ17" s="113">
        <f t="shared" si="9"/>
        <v>31</v>
      </c>
      <c r="BA17" s="113">
        <f t="shared" si="10"/>
        <v>30</v>
      </c>
      <c r="BB17" s="116">
        <v>45000</v>
      </c>
      <c r="BC17" s="123">
        <f>OctReport[[#This Row],[SALARY]]/OctReport[[#This Row],[PAID DAYS]]</f>
        <v>1500</v>
      </c>
      <c r="BD17" s="119">
        <f>OctReport[[#This Row],[SALARY]]-OctReport[[#This Row],[ DEDUCTION]]</f>
        <v>43500</v>
      </c>
      <c r="BE17" s="121"/>
      <c r="BF17" s="14"/>
      <c r="BG17" s="76"/>
      <c r="BH17" s="4"/>
      <c r="BI17" s="4"/>
      <c r="BJ17" s="4"/>
      <c r="BK17" s="4"/>
      <c r="BL17" s="4"/>
      <c r="BM17" s="4"/>
    </row>
    <row r="18" spans="4:65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7"/>
        <v>4</v>
      </c>
      <c r="K18" s="51" t="s">
        <v>38</v>
      </c>
      <c r="L18" s="51" t="s">
        <v>40</v>
      </c>
      <c r="M18" s="51" t="s">
        <v>40</v>
      </c>
      <c r="N18" s="51" t="s">
        <v>38</v>
      </c>
      <c r="O18" s="51" t="str">
        <f t="shared" si="2"/>
        <v>Wo</v>
      </c>
      <c r="P18" s="51" t="s">
        <v>38</v>
      </c>
      <c r="Q18" s="51" t="s">
        <v>38</v>
      </c>
      <c r="R18" s="51" t="s">
        <v>38</v>
      </c>
      <c r="S18" s="51" t="s">
        <v>38</v>
      </c>
      <c r="T18" s="51" t="s">
        <v>38</v>
      </c>
      <c r="U18" s="51" t="s">
        <v>38</v>
      </c>
      <c r="V18" s="51" t="str">
        <f t="shared" si="2"/>
        <v>Wo</v>
      </c>
      <c r="W18" s="51" t="s">
        <v>38</v>
      </c>
      <c r="X18" s="51" t="s">
        <v>38</v>
      </c>
      <c r="Y18" s="51" t="s">
        <v>38</v>
      </c>
      <c r="Z18" s="51" t="s">
        <v>38</v>
      </c>
      <c r="AA18" s="51" t="s">
        <v>39</v>
      </c>
      <c r="AB18" s="51" t="s">
        <v>38</v>
      </c>
      <c r="AC18" s="51" t="str">
        <f t="shared" si="2"/>
        <v>Wo</v>
      </c>
      <c r="AD18" s="65" t="s">
        <v>38</v>
      </c>
      <c r="AE18" s="65" t="s">
        <v>38</v>
      </c>
      <c r="AF18" s="65" t="s">
        <v>38</v>
      </c>
      <c r="AG18" s="65" t="s">
        <v>38</v>
      </c>
      <c r="AH18" s="65" t="s">
        <v>38</v>
      </c>
      <c r="AI18" s="65" t="s">
        <v>38</v>
      </c>
      <c r="AJ18" s="65" t="str">
        <f t="shared" si="2"/>
        <v>Wo</v>
      </c>
      <c r="AK18" s="65" t="s">
        <v>38</v>
      </c>
      <c r="AL18" s="65" t="s">
        <v>38</v>
      </c>
      <c r="AM18" s="65" t="s">
        <v>38</v>
      </c>
      <c r="AN18" s="65" t="s">
        <v>38</v>
      </c>
      <c r="AO18" s="16" t="s">
        <v>38</v>
      </c>
      <c r="AP18" s="77"/>
      <c r="AQ18" s="13"/>
      <c r="AR18" s="7">
        <v>11</v>
      </c>
      <c r="AS18" s="107">
        <v>1011</v>
      </c>
      <c r="AT18" s="107" t="str">
        <f t="shared" si="3"/>
        <v>October</v>
      </c>
      <c r="AU18" s="107" t="s">
        <v>11</v>
      </c>
      <c r="AV18" s="110">
        <f t="shared" si="4"/>
        <v>24</v>
      </c>
      <c r="AW18" s="110">
        <f t="shared" si="5"/>
        <v>1</v>
      </c>
      <c r="AX18" s="110">
        <f t="shared" si="6"/>
        <v>2</v>
      </c>
      <c r="AY18" s="110">
        <f t="shared" si="8"/>
        <v>4</v>
      </c>
      <c r="AZ18" s="113">
        <f t="shared" si="9"/>
        <v>31</v>
      </c>
      <c r="BA18" s="113">
        <f t="shared" si="10"/>
        <v>30</v>
      </c>
      <c r="BB18" s="116">
        <v>55000</v>
      </c>
      <c r="BC18" s="123">
        <f>OctReport[[#This Row],[SALARY]]/OctReport[[#This Row],[PAID DAYS]]</f>
        <v>1833.3333333333333</v>
      </c>
      <c r="BD18" s="119">
        <f>OctReport[[#This Row],[SALARY]]-OctReport[[#This Row],[ DEDUCTION]]</f>
        <v>53166.666666666664</v>
      </c>
      <c r="BE18" s="121"/>
      <c r="BF18" s="14"/>
      <c r="BG18" s="76"/>
      <c r="BH18" s="4"/>
      <c r="BI18" s="4"/>
      <c r="BJ18" s="4"/>
      <c r="BK18" s="4"/>
      <c r="BL18" s="4"/>
      <c r="BM18" s="4"/>
    </row>
    <row r="19" spans="4:65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7"/>
        <v>4</v>
      </c>
      <c r="K19" s="51" t="s">
        <v>38</v>
      </c>
      <c r="L19" s="51" t="s">
        <v>38</v>
      </c>
      <c r="M19" s="51" t="s">
        <v>38</v>
      </c>
      <c r="N19" s="51" t="s">
        <v>38</v>
      </c>
      <c r="O19" s="51" t="str">
        <f t="shared" si="2"/>
        <v>Wo</v>
      </c>
      <c r="P19" s="51" t="s">
        <v>39</v>
      </c>
      <c r="Q19" s="51" t="s">
        <v>39</v>
      </c>
      <c r="R19" s="51" t="s">
        <v>39</v>
      </c>
      <c r="S19" s="51" t="s">
        <v>38</v>
      </c>
      <c r="T19" s="51" t="s">
        <v>38</v>
      </c>
      <c r="U19" s="51" t="s">
        <v>38</v>
      </c>
      <c r="V19" s="51" t="str">
        <f t="shared" si="2"/>
        <v>Wo</v>
      </c>
      <c r="W19" s="51" t="s">
        <v>39</v>
      </c>
      <c r="X19" s="51" t="s">
        <v>39</v>
      </c>
      <c r="Y19" s="51" t="s">
        <v>39</v>
      </c>
      <c r="Z19" s="51" t="s">
        <v>38</v>
      </c>
      <c r="AA19" s="51" t="s">
        <v>39</v>
      </c>
      <c r="AB19" s="51" t="s">
        <v>38</v>
      </c>
      <c r="AC19" s="51" t="str">
        <f t="shared" si="2"/>
        <v>Wo</v>
      </c>
      <c r="AD19" s="65" t="s">
        <v>38</v>
      </c>
      <c r="AE19" s="65" t="s">
        <v>38</v>
      </c>
      <c r="AF19" s="65" t="s">
        <v>38</v>
      </c>
      <c r="AG19" s="65" t="s">
        <v>38</v>
      </c>
      <c r="AH19" s="65" t="s">
        <v>38</v>
      </c>
      <c r="AI19" s="65" t="s">
        <v>38</v>
      </c>
      <c r="AJ19" s="65" t="str">
        <f t="shared" si="2"/>
        <v>Wo</v>
      </c>
      <c r="AK19" s="65" t="s">
        <v>38</v>
      </c>
      <c r="AL19" s="65" t="s">
        <v>39</v>
      </c>
      <c r="AM19" s="65" t="s">
        <v>38</v>
      </c>
      <c r="AN19" s="65" t="s">
        <v>38</v>
      </c>
      <c r="AO19" s="16" t="s">
        <v>38</v>
      </c>
      <c r="AP19" s="77"/>
      <c r="AQ19" s="13"/>
      <c r="AR19" s="7">
        <v>12</v>
      </c>
      <c r="AS19" s="107">
        <v>1012</v>
      </c>
      <c r="AT19" s="107" t="str">
        <f t="shared" si="3"/>
        <v>October</v>
      </c>
      <c r="AU19" s="107" t="s">
        <v>12</v>
      </c>
      <c r="AV19" s="110">
        <f t="shared" si="4"/>
        <v>19</v>
      </c>
      <c r="AW19" s="110">
        <f t="shared" si="5"/>
        <v>8</v>
      </c>
      <c r="AX19" s="110">
        <f t="shared" si="6"/>
        <v>0</v>
      </c>
      <c r="AY19" s="110">
        <f t="shared" si="8"/>
        <v>4</v>
      </c>
      <c r="AZ19" s="113">
        <f t="shared" si="9"/>
        <v>31</v>
      </c>
      <c r="BA19" s="113">
        <f t="shared" si="10"/>
        <v>23</v>
      </c>
      <c r="BB19" s="116">
        <v>65000</v>
      </c>
      <c r="BC19" s="123">
        <f>OctReport[[#This Row],[SALARY]]/OctReport[[#This Row],[PAID DAYS]]</f>
        <v>2826.086956521739</v>
      </c>
      <c r="BD19" s="119">
        <f>OctReport[[#This Row],[SALARY]]-OctReport[[#This Row],[ DEDUCTION]]</f>
        <v>62173.913043478264</v>
      </c>
      <c r="BE19" s="121"/>
      <c r="BF19" s="14"/>
      <c r="BG19" s="76"/>
      <c r="BH19" s="4"/>
      <c r="BI19" s="4"/>
      <c r="BJ19" s="4"/>
      <c r="BK19" s="4"/>
      <c r="BL19" s="4"/>
      <c r="BM19" s="4"/>
    </row>
    <row r="20" spans="4:65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7"/>
        <v>4</v>
      </c>
      <c r="K20" s="51" t="s">
        <v>39</v>
      </c>
      <c r="L20" s="51" t="s">
        <v>38</v>
      </c>
      <c r="M20" s="51" t="s">
        <v>38</v>
      </c>
      <c r="N20" s="51" t="s">
        <v>38</v>
      </c>
      <c r="O20" s="51" t="str">
        <f t="shared" si="2"/>
        <v>Wo</v>
      </c>
      <c r="P20" s="51" t="s">
        <v>39</v>
      </c>
      <c r="Q20" s="51" t="s">
        <v>39</v>
      </c>
      <c r="R20" s="51" t="s">
        <v>39</v>
      </c>
      <c r="S20" s="51" t="s">
        <v>38</v>
      </c>
      <c r="T20" s="51" t="s">
        <v>38</v>
      </c>
      <c r="U20" s="51" t="s">
        <v>38</v>
      </c>
      <c r="V20" s="51" t="str">
        <f t="shared" si="2"/>
        <v>Wo</v>
      </c>
      <c r="W20" s="51" t="s">
        <v>38</v>
      </c>
      <c r="X20" s="51" t="s">
        <v>38</v>
      </c>
      <c r="Y20" s="51" t="s">
        <v>38</v>
      </c>
      <c r="Z20" s="51" t="s">
        <v>38</v>
      </c>
      <c r="AA20" s="51" t="s">
        <v>38</v>
      </c>
      <c r="AB20" s="51" t="s">
        <v>38</v>
      </c>
      <c r="AC20" s="51" t="str">
        <f t="shared" si="2"/>
        <v>Wo</v>
      </c>
      <c r="AD20" s="65" t="s">
        <v>38</v>
      </c>
      <c r="AE20" s="65" t="s">
        <v>38</v>
      </c>
      <c r="AF20" s="65" t="s">
        <v>38</v>
      </c>
      <c r="AG20" s="65" t="s">
        <v>38</v>
      </c>
      <c r="AH20" s="65" t="s">
        <v>38</v>
      </c>
      <c r="AI20" s="65" t="s">
        <v>38</v>
      </c>
      <c r="AJ20" s="65" t="str">
        <f t="shared" si="2"/>
        <v>Wo</v>
      </c>
      <c r="AK20" s="65" t="s">
        <v>40</v>
      </c>
      <c r="AL20" s="65" t="s">
        <v>40</v>
      </c>
      <c r="AM20" s="65" t="s">
        <v>39</v>
      </c>
      <c r="AN20" s="65" t="s">
        <v>38</v>
      </c>
      <c r="AO20" s="16" t="s">
        <v>38</v>
      </c>
      <c r="AP20" s="77"/>
      <c r="AQ20" s="13"/>
      <c r="AR20" s="7">
        <v>13</v>
      </c>
      <c r="AS20" s="107">
        <v>1013</v>
      </c>
      <c r="AT20" s="107" t="str">
        <f t="shared" si="3"/>
        <v>October</v>
      </c>
      <c r="AU20" s="107" t="s">
        <v>13</v>
      </c>
      <c r="AV20" s="110">
        <f t="shared" si="4"/>
        <v>20</v>
      </c>
      <c r="AW20" s="110">
        <f t="shared" si="5"/>
        <v>5</v>
      </c>
      <c r="AX20" s="110">
        <f t="shared" si="6"/>
        <v>2</v>
      </c>
      <c r="AY20" s="110">
        <f t="shared" si="8"/>
        <v>4</v>
      </c>
      <c r="AZ20" s="113">
        <f t="shared" si="9"/>
        <v>31</v>
      </c>
      <c r="BA20" s="113">
        <f t="shared" si="10"/>
        <v>26</v>
      </c>
      <c r="BB20" s="116">
        <v>68000</v>
      </c>
      <c r="BC20" s="123">
        <f>OctReport[[#This Row],[SALARY]]/OctReport[[#This Row],[PAID DAYS]]</f>
        <v>2615.3846153846152</v>
      </c>
      <c r="BD20" s="119">
        <f>OctReport[[#This Row],[SALARY]]-OctReport[[#This Row],[ DEDUCTION]]</f>
        <v>65384.615384615383</v>
      </c>
      <c r="BE20" s="121"/>
      <c r="BF20" s="14"/>
      <c r="BG20" s="76"/>
      <c r="BH20" s="4"/>
      <c r="BI20" s="4"/>
      <c r="BJ20" s="4"/>
      <c r="BK20" s="4"/>
      <c r="BL20" s="4"/>
      <c r="BM20" s="4"/>
    </row>
    <row r="21" spans="4:65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7"/>
        <v>4</v>
      </c>
      <c r="K21" s="51" t="s">
        <v>38</v>
      </c>
      <c r="L21" s="51" t="s">
        <v>38</v>
      </c>
      <c r="M21" s="51" t="s">
        <v>38</v>
      </c>
      <c r="N21" s="51" t="s">
        <v>38</v>
      </c>
      <c r="O21" s="51" t="str">
        <f t="shared" si="2"/>
        <v>Wo</v>
      </c>
      <c r="P21" s="51" t="s">
        <v>38</v>
      </c>
      <c r="Q21" s="51" t="s">
        <v>38</v>
      </c>
      <c r="R21" s="51" t="s">
        <v>38</v>
      </c>
      <c r="S21" s="51" t="s">
        <v>38</v>
      </c>
      <c r="T21" s="51" t="s">
        <v>38</v>
      </c>
      <c r="U21" s="51" t="s">
        <v>38</v>
      </c>
      <c r="V21" s="51" t="str">
        <f t="shared" si="2"/>
        <v>Wo</v>
      </c>
      <c r="W21" s="51" t="s">
        <v>38</v>
      </c>
      <c r="X21" s="51" t="s">
        <v>38</v>
      </c>
      <c r="Y21" s="51" t="s">
        <v>38</v>
      </c>
      <c r="Z21" s="51" t="s">
        <v>38</v>
      </c>
      <c r="AA21" s="51" t="s">
        <v>38</v>
      </c>
      <c r="AB21" s="51" t="s">
        <v>38</v>
      </c>
      <c r="AC21" s="51" t="str">
        <f t="shared" si="2"/>
        <v>Wo</v>
      </c>
      <c r="AD21" s="65" t="s">
        <v>40</v>
      </c>
      <c r="AE21" s="65" t="s">
        <v>40</v>
      </c>
      <c r="AF21" s="65" t="s">
        <v>40</v>
      </c>
      <c r="AG21" s="65" t="s">
        <v>40</v>
      </c>
      <c r="AH21" s="65" t="s">
        <v>38</v>
      </c>
      <c r="AI21" s="65" t="s">
        <v>38</v>
      </c>
      <c r="AJ21" s="65" t="str">
        <f t="shared" si="2"/>
        <v>Wo</v>
      </c>
      <c r="AK21" s="65" t="s">
        <v>38</v>
      </c>
      <c r="AL21" s="65" t="s">
        <v>38</v>
      </c>
      <c r="AM21" s="65" t="s">
        <v>38</v>
      </c>
      <c r="AN21" s="65" t="s">
        <v>39</v>
      </c>
      <c r="AO21" s="16" t="s">
        <v>38</v>
      </c>
      <c r="AP21" s="77"/>
      <c r="AQ21" s="13"/>
      <c r="AR21" s="7">
        <v>14</v>
      </c>
      <c r="AS21" s="107">
        <v>1014</v>
      </c>
      <c r="AT21" s="107" t="str">
        <f t="shared" si="3"/>
        <v>October</v>
      </c>
      <c r="AU21" s="107" t="s">
        <v>14</v>
      </c>
      <c r="AV21" s="110">
        <f t="shared" si="4"/>
        <v>22</v>
      </c>
      <c r="AW21" s="110">
        <f t="shared" si="5"/>
        <v>1</v>
      </c>
      <c r="AX21" s="110">
        <f t="shared" si="6"/>
        <v>4</v>
      </c>
      <c r="AY21" s="110">
        <f t="shared" si="8"/>
        <v>4</v>
      </c>
      <c r="AZ21" s="113">
        <f t="shared" si="9"/>
        <v>31</v>
      </c>
      <c r="BA21" s="113">
        <f t="shared" si="10"/>
        <v>30</v>
      </c>
      <c r="BB21" s="116">
        <v>72000</v>
      </c>
      <c r="BC21" s="123">
        <f>OctReport[[#This Row],[SALARY]]/OctReport[[#This Row],[PAID DAYS]]</f>
        <v>2400</v>
      </c>
      <c r="BD21" s="119">
        <f>OctReport[[#This Row],[SALARY]]-OctReport[[#This Row],[ DEDUCTION]]</f>
        <v>69600</v>
      </c>
      <c r="BE21" s="121"/>
      <c r="BF21" s="14"/>
      <c r="BG21" s="76"/>
      <c r="BH21" s="4"/>
      <c r="BI21" s="4"/>
      <c r="BJ21" s="4"/>
      <c r="BK21" s="4"/>
      <c r="BL21" s="4"/>
      <c r="BM21" s="4"/>
    </row>
    <row r="22" spans="4:65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7"/>
        <v>4</v>
      </c>
      <c r="K22" s="51" t="s">
        <v>38</v>
      </c>
      <c r="L22" s="51" t="s">
        <v>38</v>
      </c>
      <c r="M22" s="51" t="s">
        <v>39</v>
      </c>
      <c r="N22" s="51" t="s">
        <v>38</v>
      </c>
      <c r="O22" s="51" t="str">
        <f t="shared" si="2"/>
        <v>Wo</v>
      </c>
      <c r="P22" s="51" t="s">
        <v>38</v>
      </c>
      <c r="Q22" s="51" t="s">
        <v>38</v>
      </c>
      <c r="R22" s="51" t="s">
        <v>38</v>
      </c>
      <c r="S22" s="51" t="s">
        <v>40</v>
      </c>
      <c r="T22" s="51" t="s">
        <v>40</v>
      </c>
      <c r="U22" s="51" t="s">
        <v>40</v>
      </c>
      <c r="V22" s="51" t="str">
        <f t="shared" si="2"/>
        <v>Wo</v>
      </c>
      <c r="W22" s="51" t="s">
        <v>38</v>
      </c>
      <c r="X22" s="51" t="s">
        <v>38</v>
      </c>
      <c r="Y22" s="51" t="s">
        <v>38</v>
      </c>
      <c r="Z22" s="51" t="s">
        <v>38</v>
      </c>
      <c r="AA22" s="51" t="s">
        <v>38</v>
      </c>
      <c r="AB22" s="51" t="s">
        <v>38</v>
      </c>
      <c r="AC22" s="51" t="str">
        <f t="shared" si="2"/>
        <v>Wo</v>
      </c>
      <c r="AD22" s="65" t="s">
        <v>38</v>
      </c>
      <c r="AE22" s="65" t="s">
        <v>38</v>
      </c>
      <c r="AF22" s="65" t="s">
        <v>38</v>
      </c>
      <c r="AG22" s="65" t="s">
        <v>38</v>
      </c>
      <c r="AH22" s="65" t="s">
        <v>38</v>
      </c>
      <c r="AI22" s="65" t="s">
        <v>38</v>
      </c>
      <c r="AJ22" s="65" t="str">
        <f t="shared" si="2"/>
        <v>Wo</v>
      </c>
      <c r="AK22" s="65" t="s">
        <v>38</v>
      </c>
      <c r="AL22" s="65" t="s">
        <v>38</v>
      </c>
      <c r="AM22" s="65" t="s">
        <v>39</v>
      </c>
      <c r="AN22" s="65" t="s">
        <v>38</v>
      </c>
      <c r="AO22" s="16" t="s">
        <v>38</v>
      </c>
      <c r="AP22" s="77"/>
      <c r="AQ22" s="13"/>
      <c r="AR22" s="7">
        <v>15</v>
      </c>
      <c r="AS22" s="107">
        <v>1015</v>
      </c>
      <c r="AT22" s="107" t="str">
        <f t="shared" si="3"/>
        <v>October</v>
      </c>
      <c r="AU22" s="107" t="s">
        <v>15</v>
      </c>
      <c r="AV22" s="110">
        <f t="shared" si="4"/>
        <v>22</v>
      </c>
      <c r="AW22" s="110">
        <f t="shared" si="5"/>
        <v>2</v>
      </c>
      <c r="AX22" s="110">
        <f t="shared" si="6"/>
        <v>3</v>
      </c>
      <c r="AY22" s="110">
        <f t="shared" si="8"/>
        <v>4</v>
      </c>
      <c r="AZ22" s="113">
        <f t="shared" si="9"/>
        <v>31</v>
      </c>
      <c r="BA22" s="113">
        <f t="shared" si="10"/>
        <v>29</v>
      </c>
      <c r="BB22" s="116">
        <v>20000</v>
      </c>
      <c r="BC22" s="123">
        <f>OctReport[[#This Row],[SALARY]]/OctReport[[#This Row],[PAID DAYS]]</f>
        <v>689.65517241379314</v>
      </c>
      <c r="BD22" s="119">
        <f>OctReport[[#This Row],[SALARY]]-OctReport[[#This Row],[ DEDUCTION]]</f>
        <v>19310.344827586207</v>
      </c>
      <c r="BE22" s="121"/>
      <c r="BF22" s="14"/>
      <c r="BG22" s="76"/>
      <c r="BH22" s="4"/>
      <c r="BI22" s="4"/>
      <c r="BJ22" s="4"/>
      <c r="BK22" s="4"/>
      <c r="BL22" s="4"/>
      <c r="BM22" s="4"/>
    </row>
    <row r="23" spans="4:65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7"/>
        <v>4</v>
      </c>
      <c r="K23" s="51" t="s">
        <v>38</v>
      </c>
      <c r="L23" s="51" t="s">
        <v>38</v>
      </c>
      <c r="M23" s="51" t="s">
        <v>38</v>
      </c>
      <c r="N23" s="51" t="s">
        <v>38</v>
      </c>
      <c r="O23" s="51" t="str">
        <f t="shared" si="2"/>
        <v>Wo</v>
      </c>
      <c r="P23" s="51" t="s">
        <v>38</v>
      </c>
      <c r="Q23" s="51" t="s">
        <v>38</v>
      </c>
      <c r="R23" s="51" t="s">
        <v>38</v>
      </c>
      <c r="S23" s="51" t="s">
        <v>38</v>
      </c>
      <c r="T23" s="51" t="s">
        <v>38</v>
      </c>
      <c r="U23" s="51" t="s">
        <v>38</v>
      </c>
      <c r="V23" s="51" t="str">
        <f t="shared" si="2"/>
        <v>Wo</v>
      </c>
      <c r="W23" s="51" t="s">
        <v>38</v>
      </c>
      <c r="X23" s="51" t="s">
        <v>38</v>
      </c>
      <c r="Y23" s="51" t="s">
        <v>38</v>
      </c>
      <c r="Z23" s="51" t="s">
        <v>39</v>
      </c>
      <c r="AA23" s="51" t="s">
        <v>38</v>
      </c>
      <c r="AB23" s="51" t="s">
        <v>38</v>
      </c>
      <c r="AC23" s="51" t="str">
        <f t="shared" si="2"/>
        <v>Wo</v>
      </c>
      <c r="AD23" s="65" t="s">
        <v>38</v>
      </c>
      <c r="AE23" s="65" t="s">
        <v>38</v>
      </c>
      <c r="AF23" s="65" t="s">
        <v>38</v>
      </c>
      <c r="AG23" s="65" t="s">
        <v>38</v>
      </c>
      <c r="AH23" s="65" t="s">
        <v>38</v>
      </c>
      <c r="AI23" s="65" t="s">
        <v>38</v>
      </c>
      <c r="AJ23" s="65" t="str">
        <f t="shared" si="2"/>
        <v>Wo</v>
      </c>
      <c r="AK23" s="65" t="s">
        <v>38</v>
      </c>
      <c r="AL23" s="65" t="s">
        <v>39</v>
      </c>
      <c r="AM23" s="65" t="s">
        <v>38</v>
      </c>
      <c r="AN23" s="65" t="s">
        <v>38</v>
      </c>
      <c r="AO23" s="16" t="s">
        <v>38</v>
      </c>
      <c r="AP23" s="77"/>
      <c r="AQ23" s="13"/>
      <c r="AR23" s="7">
        <v>16</v>
      </c>
      <c r="AS23" s="107">
        <v>1016</v>
      </c>
      <c r="AT23" s="107" t="str">
        <f t="shared" si="3"/>
        <v>October</v>
      </c>
      <c r="AU23" s="107" t="s">
        <v>16</v>
      </c>
      <c r="AV23" s="110">
        <f t="shared" si="4"/>
        <v>25</v>
      </c>
      <c r="AW23" s="110">
        <f t="shared" si="5"/>
        <v>2</v>
      </c>
      <c r="AX23" s="110">
        <f t="shared" si="6"/>
        <v>0</v>
      </c>
      <c r="AY23" s="110">
        <f t="shared" si="8"/>
        <v>4</v>
      </c>
      <c r="AZ23" s="113">
        <f t="shared" si="9"/>
        <v>31</v>
      </c>
      <c r="BA23" s="113">
        <f t="shared" si="10"/>
        <v>29</v>
      </c>
      <c r="BB23" s="116">
        <v>56000</v>
      </c>
      <c r="BC23" s="123">
        <f>OctReport[[#This Row],[SALARY]]/OctReport[[#This Row],[PAID DAYS]]</f>
        <v>1931.0344827586207</v>
      </c>
      <c r="BD23" s="119">
        <f>OctReport[[#This Row],[SALARY]]-OctReport[[#This Row],[ DEDUCTION]]</f>
        <v>54068.965517241377</v>
      </c>
      <c r="BE23" s="121"/>
      <c r="BF23" s="14"/>
      <c r="BG23" s="76"/>
      <c r="BH23" s="4"/>
      <c r="BI23" s="4"/>
      <c r="BJ23" s="4"/>
      <c r="BK23" s="4"/>
      <c r="BL23" s="4"/>
      <c r="BM23" s="4"/>
    </row>
    <row r="24" spans="4:65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7"/>
        <v>4</v>
      </c>
      <c r="K24" s="51" t="s">
        <v>38</v>
      </c>
      <c r="L24" s="51" t="s">
        <v>38</v>
      </c>
      <c r="M24" s="51" t="s">
        <v>38</v>
      </c>
      <c r="N24" s="51" t="s">
        <v>38</v>
      </c>
      <c r="O24" s="51" t="str">
        <f t="shared" ref="O24:V27" si="11">IF(O$6="sun","Wo"," ")</f>
        <v>Wo</v>
      </c>
      <c r="P24" s="51" t="s">
        <v>38</v>
      </c>
      <c r="Q24" s="51" t="s">
        <v>38</v>
      </c>
      <c r="R24" s="51" t="s">
        <v>40</v>
      </c>
      <c r="S24" s="51" t="s">
        <v>40</v>
      </c>
      <c r="T24" s="51" t="s">
        <v>38</v>
      </c>
      <c r="U24" s="51" t="s">
        <v>38</v>
      </c>
      <c r="V24" s="51" t="str">
        <f t="shared" si="11"/>
        <v>Wo</v>
      </c>
      <c r="W24" s="51" t="s">
        <v>39</v>
      </c>
      <c r="X24" s="51" t="s">
        <v>39</v>
      </c>
      <c r="Y24" s="51" t="s">
        <v>40</v>
      </c>
      <c r="Z24" s="51" t="s">
        <v>40</v>
      </c>
      <c r="AA24" s="51" t="s">
        <v>38</v>
      </c>
      <c r="AB24" s="51" t="s">
        <v>38</v>
      </c>
      <c r="AC24" s="51" t="str">
        <f t="shared" ref="AC24:AJ27" si="12">IF(AC$6="sun","Wo"," ")</f>
        <v>Wo</v>
      </c>
      <c r="AD24" s="65" t="s">
        <v>38</v>
      </c>
      <c r="AE24" s="65" t="s">
        <v>38</v>
      </c>
      <c r="AF24" s="65" t="s">
        <v>38</v>
      </c>
      <c r="AG24" s="65" t="s">
        <v>38</v>
      </c>
      <c r="AH24" s="65" t="s">
        <v>38</v>
      </c>
      <c r="AI24" s="65" t="s">
        <v>38</v>
      </c>
      <c r="AJ24" s="65" t="str">
        <f t="shared" si="12"/>
        <v>Wo</v>
      </c>
      <c r="AK24" s="65" t="s">
        <v>39</v>
      </c>
      <c r="AL24" s="65" t="s">
        <v>38</v>
      </c>
      <c r="AM24" s="65" t="s">
        <v>40</v>
      </c>
      <c r="AN24" s="65" t="s">
        <v>40</v>
      </c>
      <c r="AO24" s="16" t="s">
        <v>38</v>
      </c>
      <c r="AP24" s="77"/>
      <c r="AQ24" s="13"/>
      <c r="AR24" s="7">
        <v>17</v>
      </c>
      <c r="AS24" s="107">
        <v>1017</v>
      </c>
      <c r="AT24" s="107" t="str">
        <f t="shared" si="3"/>
        <v>October</v>
      </c>
      <c r="AU24" s="107" t="s">
        <v>17</v>
      </c>
      <c r="AV24" s="110">
        <f t="shared" si="4"/>
        <v>18</v>
      </c>
      <c r="AW24" s="110">
        <f t="shared" si="5"/>
        <v>3</v>
      </c>
      <c r="AX24" s="110">
        <f t="shared" si="6"/>
        <v>6</v>
      </c>
      <c r="AY24" s="110">
        <f t="shared" si="8"/>
        <v>4</v>
      </c>
      <c r="AZ24" s="113">
        <f t="shared" si="9"/>
        <v>31</v>
      </c>
      <c r="BA24" s="113">
        <f t="shared" si="10"/>
        <v>28</v>
      </c>
      <c r="BB24" s="116">
        <v>35000</v>
      </c>
      <c r="BC24" s="123">
        <f>OctReport[[#This Row],[SALARY]]/OctReport[[#This Row],[PAID DAYS]]</f>
        <v>1250</v>
      </c>
      <c r="BD24" s="119">
        <f>OctReport[[#This Row],[SALARY]]-OctReport[[#This Row],[ DEDUCTION]]</f>
        <v>33750</v>
      </c>
      <c r="BE24" s="121"/>
      <c r="BF24" s="14"/>
      <c r="BG24" s="76"/>
      <c r="BH24" s="4"/>
      <c r="BI24" s="4"/>
      <c r="BJ24" s="4"/>
      <c r="BK24" s="4"/>
      <c r="BL24" s="4"/>
      <c r="BM24" s="4"/>
    </row>
    <row r="25" spans="4:65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7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11"/>
        <v>Wo</v>
      </c>
      <c r="P25" s="51" t="s">
        <v>38</v>
      </c>
      <c r="Q25" s="51" t="s">
        <v>38</v>
      </c>
      <c r="R25" s="51" t="s">
        <v>38</v>
      </c>
      <c r="S25" s="51" t="s">
        <v>38</v>
      </c>
      <c r="T25" s="51" t="s">
        <v>38</v>
      </c>
      <c r="U25" s="51" t="s">
        <v>38</v>
      </c>
      <c r="V25" s="51" t="str">
        <f t="shared" si="11"/>
        <v>Wo</v>
      </c>
      <c r="W25" s="51" t="s">
        <v>38</v>
      </c>
      <c r="X25" s="51" t="s">
        <v>38</v>
      </c>
      <c r="Y25" s="51" t="s">
        <v>38</v>
      </c>
      <c r="Z25" s="51" t="s">
        <v>38</v>
      </c>
      <c r="AA25" s="51" t="s">
        <v>38</v>
      </c>
      <c r="AB25" s="51" t="s">
        <v>38</v>
      </c>
      <c r="AC25" s="51" t="str">
        <f t="shared" si="12"/>
        <v>Wo</v>
      </c>
      <c r="AD25" s="65" t="s">
        <v>39</v>
      </c>
      <c r="AE25" s="65" t="s">
        <v>39</v>
      </c>
      <c r="AF25" s="65" t="s">
        <v>39</v>
      </c>
      <c r="AG25" s="65" t="s">
        <v>39</v>
      </c>
      <c r="AH25" s="65" t="s">
        <v>39</v>
      </c>
      <c r="AI25" s="65" t="s">
        <v>38</v>
      </c>
      <c r="AJ25" s="65" t="str">
        <f t="shared" si="12"/>
        <v>Wo</v>
      </c>
      <c r="AK25" s="65" t="s">
        <v>38</v>
      </c>
      <c r="AL25" s="65" t="s">
        <v>38</v>
      </c>
      <c r="AM25" s="65" t="s">
        <v>38</v>
      </c>
      <c r="AN25" s="65" t="s">
        <v>38</v>
      </c>
      <c r="AO25" s="16" t="s">
        <v>38</v>
      </c>
      <c r="AP25" s="77"/>
      <c r="AQ25" s="13"/>
      <c r="AR25" s="7">
        <v>18</v>
      </c>
      <c r="AS25" s="107">
        <v>1018</v>
      </c>
      <c r="AT25" s="107" t="str">
        <f t="shared" si="3"/>
        <v>October</v>
      </c>
      <c r="AU25" s="107" t="s">
        <v>18</v>
      </c>
      <c r="AV25" s="110">
        <f t="shared" si="4"/>
        <v>22</v>
      </c>
      <c r="AW25" s="110">
        <f t="shared" si="5"/>
        <v>5</v>
      </c>
      <c r="AX25" s="110">
        <f t="shared" si="6"/>
        <v>0</v>
      </c>
      <c r="AY25" s="110">
        <f t="shared" si="8"/>
        <v>4</v>
      </c>
      <c r="AZ25" s="113">
        <f t="shared" si="9"/>
        <v>31</v>
      </c>
      <c r="BA25" s="113">
        <f t="shared" si="10"/>
        <v>26</v>
      </c>
      <c r="BB25" s="116">
        <v>12000</v>
      </c>
      <c r="BC25" s="123">
        <f>OctReport[[#This Row],[SALARY]]/OctReport[[#This Row],[PAID DAYS]]</f>
        <v>461.53846153846155</v>
      </c>
      <c r="BD25" s="119">
        <f>OctReport[[#This Row],[SALARY]]-OctReport[[#This Row],[ DEDUCTION]]</f>
        <v>11538.461538461539</v>
      </c>
      <c r="BE25" s="121"/>
      <c r="BF25" s="14"/>
      <c r="BG25" s="76"/>
      <c r="BH25" s="4"/>
      <c r="BI25" s="4"/>
      <c r="BJ25" s="4"/>
      <c r="BK25" s="4"/>
      <c r="BL25" s="4"/>
      <c r="BM25" s="4"/>
    </row>
    <row r="26" spans="4:65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7"/>
        <v>4</v>
      </c>
      <c r="K26" s="51" t="s">
        <v>38</v>
      </c>
      <c r="L26" s="51" t="s">
        <v>38</v>
      </c>
      <c r="M26" s="51" t="s">
        <v>39</v>
      </c>
      <c r="N26" s="51" t="s">
        <v>38</v>
      </c>
      <c r="O26" s="51" t="str">
        <f t="shared" si="11"/>
        <v>Wo</v>
      </c>
      <c r="P26" s="51" t="s">
        <v>38</v>
      </c>
      <c r="Q26" s="51" t="s">
        <v>39</v>
      </c>
      <c r="R26" s="51" t="s">
        <v>38</v>
      </c>
      <c r="S26" s="51" t="s">
        <v>38</v>
      </c>
      <c r="T26" s="51" t="s">
        <v>38</v>
      </c>
      <c r="U26" s="51" t="s">
        <v>38</v>
      </c>
      <c r="V26" s="51" t="str">
        <f t="shared" si="11"/>
        <v>Wo</v>
      </c>
      <c r="W26" s="51" t="s">
        <v>38</v>
      </c>
      <c r="X26" s="51" t="s">
        <v>38</v>
      </c>
      <c r="Y26" s="51" t="s">
        <v>38</v>
      </c>
      <c r="Z26" s="51" t="s">
        <v>38</v>
      </c>
      <c r="AA26" s="51" t="s">
        <v>38</v>
      </c>
      <c r="AB26" s="51" t="s">
        <v>38</v>
      </c>
      <c r="AC26" s="51" t="str">
        <f t="shared" si="12"/>
        <v>Wo</v>
      </c>
      <c r="AD26" s="65" t="s">
        <v>38</v>
      </c>
      <c r="AE26" s="65" t="s">
        <v>38</v>
      </c>
      <c r="AF26" s="65" t="s">
        <v>38</v>
      </c>
      <c r="AG26" s="65" t="s">
        <v>38</v>
      </c>
      <c r="AH26" s="65" t="s">
        <v>38</v>
      </c>
      <c r="AI26" s="65" t="s">
        <v>38</v>
      </c>
      <c r="AJ26" s="65" t="str">
        <f t="shared" si="12"/>
        <v>Wo</v>
      </c>
      <c r="AK26" s="65" t="s">
        <v>38</v>
      </c>
      <c r="AL26" s="65" t="s">
        <v>38</v>
      </c>
      <c r="AM26" s="65" t="s">
        <v>38</v>
      </c>
      <c r="AN26" s="65" t="s">
        <v>38</v>
      </c>
      <c r="AO26" s="16" t="s">
        <v>38</v>
      </c>
      <c r="AP26" s="77"/>
      <c r="AQ26" s="13"/>
      <c r="AR26" s="7">
        <v>19</v>
      </c>
      <c r="AS26" s="107">
        <v>1019</v>
      </c>
      <c r="AT26" s="107" t="str">
        <f t="shared" si="3"/>
        <v>October</v>
      </c>
      <c r="AU26" s="107" t="s">
        <v>19</v>
      </c>
      <c r="AV26" s="110">
        <f t="shared" si="4"/>
        <v>25</v>
      </c>
      <c r="AW26" s="110">
        <f t="shared" si="5"/>
        <v>2</v>
      </c>
      <c r="AX26" s="110">
        <f t="shared" si="6"/>
        <v>0</v>
      </c>
      <c r="AY26" s="110">
        <f t="shared" si="8"/>
        <v>4</v>
      </c>
      <c r="AZ26" s="113">
        <f t="shared" si="9"/>
        <v>31</v>
      </c>
      <c r="BA26" s="113">
        <f t="shared" si="10"/>
        <v>29</v>
      </c>
      <c r="BB26" s="116">
        <v>19000</v>
      </c>
      <c r="BC26" s="123">
        <f>OctReport[[#This Row],[SALARY]]/OctReport[[#This Row],[PAID DAYS]]</f>
        <v>655.17241379310349</v>
      </c>
      <c r="BD26" s="119">
        <f>OctReport[[#This Row],[SALARY]]-OctReport[[#This Row],[ DEDUCTION]]</f>
        <v>18344.827586206895</v>
      </c>
      <c r="BE26" s="121"/>
      <c r="BF26" s="14"/>
      <c r="BG26" s="76"/>
      <c r="BH26" s="4"/>
      <c r="BI26" s="4"/>
      <c r="BJ26" s="4"/>
      <c r="BK26" s="4"/>
      <c r="BL26" s="4"/>
      <c r="BM26" s="4"/>
    </row>
    <row r="27" spans="4:65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7"/>
        <v>4</v>
      </c>
      <c r="K27" s="9" t="s">
        <v>39</v>
      </c>
      <c r="L27" s="9" t="s">
        <v>38</v>
      </c>
      <c r="M27" s="9" t="s">
        <v>38</v>
      </c>
      <c r="N27" s="9" t="s">
        <v>38</v>
      </c>
      <c r="O27" s="9" t="str">
        <f t="shared" si="11"/>
        <v>Wo</v>
      </c>
      <c r="P27" s="9" t="s">
        <v>38</v>
      </c>
      <c r="Q27" s="9" t="s">
        <v>38</v>
      </c>
      <c r="R27" s="9" t="s">
        <v>38</v>
      </c>
      <c r="S27" s="9" t="s">
        <v>39</v>
      </c>
      <c r="T27" s="9" t="s">
        <v>38</v>
      </c>
      <c r="U27" s="9" t="s">
        <v>38</v>
      </c>
      <c r="V27" s="9" t="str">
        <f t="shared" si="11"/>
        <v>Wo</v>
      </c>
      <c r="W27" s="9" t="s">
        <v>38</v>
      </c>
      <c r="X27" s="9" t="s">
        <v>39</v>
      </c>
      <c r="Y27" s="9" t="s">
        <v>39</v>
      </c>
      <c r="Z27" s="9" t="s">
        <v>38</v>
      </c>
      <c r="AA27" s="9" t="s">
        <v>38</v>
      </c>
      <c r="AB27" s="9" t="s">
        <v>38</v>
      </c>
      <c r="AC27" s="9" t="str">
        <f t="shared" si="12"/>
        <v>Wo</v>
      </c>
      <c r="AD27" s="17" t="s">
        <v>38</v>
      </c>
      <c r="AE27" s="17" t="s">
        <v>38</v>
      </c>
      <c r="AF27" s="17" t="s">
        <v>38</v>
      </c>
      <c r="AG27" s="17" t="s">
        <v>38</v>
      </c>
      <c r="AH27" s="17" t="s">
        <v>38</v>
      </c>
      <c r="AI27" s="17" t="s">
        <v>38</v>
      </c>
      <c r="AJ27" s="17" t="str">
        <f t="shared" si="12"/>
        <v>Wo</v>
      </c>
      <c r="AK27" s="17" t="s">
        <v>38</v>
      </c>
      <c r="AL27" s="17" t="s">
        <v>38</v>
      </c>
      <c r="AM27" s="17" t="s">
        <v>40</v>
      </c>
      <c r="AN27" s="17" t="s">
        <v>40</v>
      </c>
      <c r="AO27" s="24" t="s">
        <v>38</v>
      </c>
      <c r="AP27" s="77"/>
      <c r="AQ27" s="13"/>
      <c r="AR27" s="7">
        <v>20</v>
      </c>
      <c r="AS27" s="107">
        <v>1020</v>
      </c>
      <c r="AT27" s="107" t="str">
        <f t="shared" si="3"/>
        <v>October</v>
      </c>
      <c r="AU27" s="107" t="s">
        <v>20</v>
      </c>
      <c r="AV27" s="110">
        <f t="shared" si="4"/>
        <v>21</v>
      </c>
      <c r="AW27" s="110">
        <f t="shared" si="5"/>
        <v>4</v>
      </c>
      <c r="AX27" s="110">
        <f t="shared" si="6"/>
        <v>2</v>
      </c>
      <c r="AY27" s="110">
        <f t="shared" si="8"/>
        <v>4</v>
      </c>
      <c r="AZ27" s="113">
        <f t="shared" si="9"/>
        <v>31</v>
      </c>
      <c r="BA27" s="113">
        <f t="shared" si="10"/>
        <v>27</v>
      </c>
      <c r="BB27" s="116">
        <v>21000</v>
      </c>
      <c r="BC27" s="123">
        <f>OctReport[[#This Row],[SALARY]]/OctReport[[#This Row],[PAID DAYS]]</f>
        <v>777.77777777777783</v>
      </c>
      <c r="BD27" s="119">
        <f>OctReport[[#This Row],[SALARY]]-OctReport[[#This Row],[ DEDUCTION]]</f>
        <v>20222.222222222223</v>
      </c>
      <c r="BE27" s="121"/>
      <c r="BF27" s="14"/>
      <c r="BG27" s="76"/>
      <c r="BH27" s="4"/>
      <c r="BI27" s="4"/>
      <c r="BJ27" s="4"/>
      <c r="BK27" s="4"/>
      <c r="BL27" s="4"/>
      <c r="BM27" s="4"/>
    </row>
    <row r="28" spans="4:65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62"/>
      <c r="AP28" s="75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76"/>
      <c r="BH28" s="4"/>
      <c r="BI28" s="4"/>
      <c r="BJ28" s="4"/>
      <c r="BK28" s="4"/>
      <c r="BL28" s="4"/>
      <c r="BM28" s="4"/>
    </row>
    <row r="29" spans="4:65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62"/>
      <c r="AP29" s="75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76"/>
      <c r="BH29" s="4"/>
      <c r="BI29" s="4"/>
      <c r="BJ29" s="4"/>
      <c r="BK29" s="4"/>
      <c r="BL29" s="4"/>
      <c r="BM29" s="4"/>
    </row>
    <row r="30" spans="4:65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62"/>
      <c r="AP30" s="75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76"/>
      <c r="BH30" s="4"/>
      <c r="BI30" s="4"/>
      <c r="BJ30" s="4"/>
      <c r="BK30" s="4"/>
      <c r="BL30" s="4"/>
      <c r="BM30" s="4"/>
    </row>
    <row r="31" spans="4:65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62"/>
      <c r="AP31" s="75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76"/>
      <c r="BH31" s="4"/>
      <c r="BI31" s="4"/>
      <c r="BJ31" s="4"/>
      <c r="BK31" s="4"/>
      <c r="BL31" s="4"/>
      <c r="BM31" s="4"/>
    </row>
    <row r="32" spans="4:65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62"/>
      <c r="AP32" s="75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76"/>
      <c r="BH32" s="4"/>
      <c r="BI32" s="4"/>
      <c r="BJ32" s="4"/>
      <c r="BK32" s="4"/>
      <c r="BL32" s="4"/>
      <c r="BM32" s="4"/>
    </row>
    <row r="33" spans="1:65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62"/>
      <c r="AP33" s="75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76"/>
      <c r="BH33" s="4"/>
      <c r="BI33" s="4"/>
      <c r="BJ33" s="4"/>
      <c r="BK33" s="4"/>
      <c r="BL33" s="4"/>
      <c r="BM33" s="4"/>
    </row>
    <row r="34" spans="1:65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62"/>
      <c r="AP34" s="75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76"/>
      <c r="BH34" s="4"/>
      <c r="BI34" s="4"/>
      <c r="BJ34" s="4"/>
      <c r="BK34" s="4"/>
      <c r="BL34" s="4"/>
      <c r="BM34" s="4"/>
    </row>
    <row r="35" spans="1:65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62"/>
      <c r="AP35" s="75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76"/>
      <c r="BH35" s="4"/>
      <c r="BI35" s="4"/>
      <c r="BJ35" s="4"/>
      <c r="BK35" s="4"/>
      <c r="BL35" s="4"/>
      <c r="BM35" s="4"/>
    </row>
    <row r="36" spans="1:65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8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0"/>
      <c r="BF36" s="80"/>
      <c r="BG36" s="81"/>
      <c r="BH36" s="4"/>
      <c r="BI36" s="4"/>
      <c r="BJ36" s="4"/>
      <c r="BK36" s="4"/>
      <c r="BL36" s="4"/>
      <c r="BM36" s="4"/>
    </row>
    <row r="37" spans="1:65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</row>
    <row r="38" spans="1:65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</row>
    <row r="39" spans="1:65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</row>
    <row r="40" spans="1:65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</row>
    <row r="41" spans="1:65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</row>
    <row r="42" spans="1:65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</row>
    <row r="43" spans="1:65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</row>
    <row r="44" spans="1:65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</row>
    <row r="45" spans="1:65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</row>
    <row r="46" spans="1:65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</row>
    <row r="47" spans="1:65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</row>
    <row r="48" spans="1:65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</row>
    <row r="49" spans="42:65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</row>
    <row r="50" spans="42:65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</row>
    <row r="51" spans="42:65" ht="30" customHeight="1">
      <c r="AP51" s="4"/>
      <c r="AQ51" s="5"/>
    </row>
    <row r="52" spans="42:65" ht="30" customHeight="1">
      <c r="AP52" s="4"/>
      <c r="AQ52" s="5"/>
    </row>
    <row r="53" spans="42:65" ht="30" customHeight="1">
      <c r="AP53" s="4"/>
      <c r="AQ53" s="5"/>
    </row>
    <row r="54" spans="42:65" ht="30" customHeight="1">
      <c r="AP54" s="4"/>
      <c r="AQ54" s="5"/>
    </row>
    <row r="55" spans="42:65" ht="30" customHeight="1">
      <c r="AP55" s="4"/>
      <c r="AQ55" s="5"/>
    </row>
    <row r="56" spans="42:65" ht="30" customHeight="1">
      <c r="AP56" s="4"/>
      <c r="AQ56" s="5"/>
    </row>
    <row r="57" spans="42:65" ht="30" customHeight="1">
      <c r="AP57" s="4"/>
      <c r="AQ57" s="5"/>
    </row>
    <row r="58" spans="42:65" ht="30" customHeight="1">
      <c r="AP58" s="4"/>
      <c r="AQ58" s="5"/>
    </row>
    <row r="59" spans="42:65" ht="30" customHeight="1">
      <c r="AP59" s="4"/>
      <c r="AQ59" s="5"/>
    </row>
    <row r="60" spans="42:65" ht="30" customHeight="1">
      <c r="AP60" s="4"/>
      <c r="AQ60" s="5"/>
    </row>
    <row r="61" spans="42:65" ht="30" customHeight="1">
      <c r="AP61" s="4"/>
      <c r="AQ61" s="5"/>
    </row>
    <row r="62" spans="42:65" ht="30" customHeight="1"/>
    <row r="63" spans="42:65" ht="30" customHeight="1"/>
    <row r="64" spans="42:65" ht="30" customHeight="1"/>
    <row r="65" ht="30" customHeight="1"/>
  </sheetData>
  <mergeCells count="1">
    <mergeCell ref="G6:I6"/>
  </mergeCells>
  <conditionalFormatting sqref="J6:AO27">
    <cfRule type="containsText" dxfId="14" priority="4" operator="containsText" text="WO">
      <formula>NOT(ISERROR(SEARCH("WO",J6)))</formula>
    </cfRule>
  </conditionalFormatting>
  <conditionalFormatting sqref="K8:AO27">
    <cfRule type="containsText" dxfId="13" priority="1" operator="containsText" text="L">
      <formula>NOT(ISERROR(SEARCH("L",K8)))</formula>
    </cfRule>
    <cfRule type="containsText" dxfId="12" priority="2" operator="containsText" text="A">
      <formula>NOT(ISERROR(SEARCH("A",K8)))</formula>
    </cfRule>
    <cfRule type="containsText" dxfId="11" priority="3" operator="containsText" text="P">
      <formula>NOT(ISERROR(SEARCH("P",K8)))</formula>
    </cfRule>
  </conditionalFormatting>
  <dataValidations count="1">
    <dataValidation type="list" allowBlank="1" showInputMessage="1" showErrorMessage="1" sqref="K8:N27 P8:U27 W8:AB27 AD8:AI27 AK8:AO27" xr:uid="{77A7B92B-A7A9-4DAB-A541-79941CE904AA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8BDD56-253E-4859-8873-48BB9057F024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CEEA604-8589-4E3A-976E-05BDBC040B3B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OCTOBER!AV8:AY8</xm:f>
              <xm:sqref>BE8</xm:sqref>
            </x14:sparkline>
            <x14:sparkline>
              <xm:f>OCTOBER!AV9:AY9</xm:f>
              <xm:sqref>BE9</xm:sqref>
            </x14:sparkline>
            <x14:sparkline>
              <xm:f>OCTOBER!AV10:AY10</xm:f>
              <xm:sqref>BE10</xm:sqref>
            </x14:sparkline>
            <x14:sparkline>
              <xm:f>OCTOBER!AV11:AY11</xm:f>
              <xm:sqref>BE11</xm:sqref>
            </x14:sparkline>
            <x14:sparkline>
              <xm:f>OCTOBER!AV12:AY12</xm:f>
              <xm:sqref>BE12</xm:sqref>
            </x14:sparkline>
            <x14:sparkline>
              <xm:f>OCTOBER!AV13:AY13</xm:f>
              <xm:sqref>BE13</xm:sqref>
            </x14:sparkline>
            <x14:sparkline>
              <xm:f>OCTOBER!AV14:AY14</xm:f>
              <xm:sqref>BE14</xm:sqref>
            </x14:sparkline>
            <x14:sparkline>
              <xm:f>OCTOBER!AV15:AY15</xm:f>
              <xm:sqref>BE15</xm:sqref>
            </x14:sparkline>
            <x14:sparkline>
              <xm:f>OCTOBER!AV16:AY16</xm:f>
              <xm:sqref>BE16</xm:sqref>
            </x14:sparkline>
            <x14:sparkline>
              <xm:f>OCTOBER!AV17:AY17</xm:f>
              <xm:sqref>BE17</xm:sqref>
            </x14:sparkline>
            <x14:sparkline>
              <xm:f>OCTOBER!AV18:AY18</xm:f>
              <xm:sqref>BE18</xm:sqref>
            </x14:sparkline>
            <x14:sparkline>
              <xm:f>OCTOBER!AV19:AY19</xm:f>
              <xm:sqref>BE19</xm:sqref>
            </x14:sparkline>
            <x14:sparkline>
              <xm:f>OCTOBER!AV20:AY20</xm:f>
              <xm:sqref>BE20</xm:sqref>
            </x14:sparkline>
            <x14:sparkline>
              <xm:f>OCTOBER!AV21:AY21</xm:f>
              <xm:sqref>BE21</xm:sqref>
            </x14:sparkline>
            <x14:sparkline>
              <xm:f>OCTOBER!AV22:AY22</xm:f>
              <xm:sqref>BE22</xm:sqref>
            </x14:sparkline>
            <x14:sparkline>
              <xm:f>OCTOBER!AV23:AY23</xm:f>
              <xm:sqref>BE23</xm:sqref>
            </x14:sparkline>
            <x14:sparkline>
              <xm:f>OCTOBER!AV24:AY24</xm:f>
              <xm:sqref>BE24</xm:sqref>
            </x14:sparkline>
            <x14:sparkline>
              <xm:f>OCTOBER!AV25:AY25</xm:f>
              <xm:sqref>BE25</xm:sqref>
            </x14:sparkline>
            <x14:sparkline>
              <xm:f>OCTOBER!AV26:AY26</xm:f>
              <xm:sqref>BE26</xm:sqref>
            </x14:sparkline>
            <x14:sparkline>
              <xm:f>OCTOBER!AV27:AY27</xm:f>
              <xm:sqref>BE27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841B-7C68-411F-AEF6-4CD2B5A1A3C4}">
  <dimension ref="A1:BM65"/>
  <sheetViews>
    <sheetView zoomScale="50" zoomScaleNormal="50" workbookViewId="0">
      <selection activeCell="G6" sqref="G6:AO27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50" width="15.140625" style="3" customWidth="1"/>
    <col min="51" max="51" width="16" style="3" customWidth="1"/>
    <col min="52" max="53" width="16.85546875" style="3" customWidth="1"/>
    <col min="54" max="54" width="24" style="3" customWidth="1"/>
    <col min="55" max="55" width="17.7109375" style="3" customWidth="1"/>
    <col min="56" max="56" width="18.5703125" style="3" customWidth="1"/>
    <col min="57" max="57" width="23.42578125" style="2" customWidth="1"/>
    <col min="58" max="16384" width="9.140625" style="2"/>
  </cols>
  <sheetData>
    <row r="1" spans="4:65" ht="30" customHeight="1">
      <c r="AP1" s="69"/>
      <c r="AQ1" s="70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  <c r="BF1" s="73"/>
      <c r="BG1" s="74"/>
      <c r="BH1" s="4"/>
      <c r="BI1" s="4"/>
      <c r="BJ1" s="4"/>
      <c r="BK1" s="4"/>
      <c r="BL1" s="4"/>
      <c r="BM1" s="4"/>
    </row>
    <row r="2" spans="4:65" ht="30" customHeight="1" thickBot="1">
      <c r="AP2" s="75"/>
      <c r="AQ2" s="13"/>
      <c r="BF2" s="14"/>
      <c r="BG2" s="76"/>
      <c r="BH2" s="4"/>
      <c r="BI2" s="4"/>
      <c r="BJ2" s="4"/>
      <c r="BK2" s="4"/>
      <c r="BL2" s="4"/>
      <c r="BM2" s="4"/>
    </row>
    <row r="3" spans="4:65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75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76"/>
      <c r="BH3" s="4"/>
      <c r="BI3" s="4"/>
      <c r="BJ3" s="4"/>
      <c r="BK3" s="4"/>
      <c r="BL3" s="4"/>
      <c r="BM3" s="4"/>
    </row>
    <row r="4" spans="4:65" ht="30" customHeight="1">
      <c r="D4" s="55"/>
      <c r="E4" s="56"/>
      <c r="F4" s="56"/>
      <c r="G4" s="57" t="s">
        <v>24</v>
      </c>
      <c r="H4" s="58"/>
      <c r="I4" s="59">
        <v>45962</v>
      </c>
      <c r="J4" s="60"/>
      <c r="K4" s="12">
        <f>(DATEDIF(I4,O4,"D"))+1</f>
        <v>30</v>
      </c>
      <c r="L4" s="50" t="str">
        <f>TEXT(I4,"MMMM")</f>
        <v>November</v>
      </c>
      <c r="M4" s="12" t="s">
        <v>28</v>
      </c>
      <c r="N4" s="61"/>
      <c r="O4" s="59">
        <f>EOMONTH(I4,0)</f>
        <v>45991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75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76"/>
      <c r="BH4" s="4"/>
      <c r="BI4" s="4"/>
      <c r="BJ4" s="4"/>
      <c r="BK4" s="4"/>
      <c r="BL4" s="4"/>
      <c r="BM4" s="4"/>
    </row>
    <row r="5" spans="4:65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75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76"/>
      <c r="BH5" s="4"/>
      <c r="BI5" s="4"/>
      <c r="BJ5" s="4"/>
      <c r="BK5" s="4"/>
      <c r="BL5" s="4"/>
      <c r="BM5" s="4"/>
    </row>
    <row r="6" spans="4:65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20" t="str">
        <f t="shared" si="0"/>
        <v>Fri</v>
      </c>
      <c r="AP6" s="75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76"/>
      <c r="BH6" s="4"/>
      <c r="BI6" s="4"/>
      <c r="BJ6" s="4"/>
      <c r="BK6" s="4"/>
      <c r="BL6" s="4"/>
      <c r="BM6" s="4"/>
    </row>
    <row r="7" spans="4:65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64">
        <f t="shared" si="1"/>
        <v>45676</v>
      </c>
      <c r="AD7" s="64">
        <f t="shared" si="1"/>
        <v>45677</v>
      </c>
      <c r="AE7" s="64">
        <f t="shared" si="1"/>
        <v>45678</v>
      </c>
      <c r="AF7" s="64">
        <f t="shared" si="1"/>
        <v>45679</v>
      </c>
      <c r="AG7" s="64">
        <f t="shared" si="1"/>
        <v>45680</v>
      </c>
      <c r="AH7" s="64">
        <f t="shared" si="1"/>
        <v>45681</v>
      </c>
      <c r="AI7" s="64">
        <f t="shared" si="1"/>
        <v>45682</v>
      </c>
      <c r="AJ7" s="64">
        <f t="shared" si="1"/>
        <v>45683</v>
      </c>
      <c r="AK7" s="64">
        <f t="shared" si="1"/>
        <v>45684</v>
      </c>
      <c r="AL7" s="64">
        <f t="shared" si="1"/>
        <v>45685</v>
      </c>
      <c r="AM7" s="64">
        <f t="shared" si="1"/>
        <v>45686</v>
      </c>
      <c r="AN7" s="64">
        <f t="shared" si="1"/>
        <v>45687</v>
      </c>
      <c r="AO7" s="23">
        <f t="shared" si="1"/>
        <v>45688</v>
      </c>
      <c r="AP7" s="77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8" t="s">
        <v>30</v>
      </c>
      <c r="AW7" s="138" t="s">
        <v>31</v>
      </c>
      <c r="AX7" s="138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9" t="s">
        <v>41</v>
      </c>
      <c r="BE7" s="138" t="s">
        <v>37</v>
      </c>
      <c r="BF7" s="14"/>
      <c r="BG7" s="76"/>
      <c r="BH7" s="4"/>
      <c r="BI7" s="4"/>
      <c r="BJ7" s="4"/>
      <c r="BK7" s="4"/>
      <c r="BL7" s="4"/>
      <c r="BM7" s="4"/>
    </row>
    <row r="8" spans="4:65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39</v>
      </c>
      <c r="L8" s="51" t="s">
        <v>38</v>
      </c>
      <c r="M8" s="51" t="s">
        <v>38</v>
      </c>
      <c r="N8" s="51" t="s">
        <v>38</v>
      </c>
      <c r="O8" s="51" t="str">
        <f t="shared" ref="O8:AJ23" si="2">IF(O$6="sun","Wo"," ")</f>
        <v>Wo</v>
      </c>
      <c r="P8" s="51" t="s">
        <v>38</v>
      </c>
      <c r="Q8" s="51" t="s">
        <v>38</v>
      </c>
      <c r="R8" s="51" t="s">
        <v>40</v>
      </c>
      <c r="S8" s="51" t="s">
        <v>38</v>
      </c>
      <c r="T8" s="51" t="s">
        <v>38</v>
      </c>
      <c r="U8" s="51" t="s">
        <v>38</v>
      </c>
      <c r="V8" s="51" t="str">
        <f t="shared" si="2"/>
        <v>Wo</v>
      </c>
      <c r="W8" s="51" t="s">
        <v>38</v>
      </c>
      <c r="X8" s="51" t="s">
        <v>38</v>
      </c>
      <c r="Y8" s="51" t="s">
        <v>38</v>
      </c>
      <c r="Z8" s="51" t="s">
        <v>40</v>
      </c>
      <c r="AA8" s="51" t="s">
        <v>38</v>
      </c>
      <c r="AB8" s="51" t="s">
        <v>38</v>
      </c>
      <c r="AC8" s="51" t="str">
        <f t="shared" si="2"/>
        <v>Wo</v>
      </c>
      <c r="AD8" s="65" t="s">
        <v>38</v>
      </c>
      <c r="AE8" s="65" t="s">
        <v>39</v>
      </c>
      <c r="AF8" s="65" t="s">
        <v>40</v>
      </c>
      <c r="AG8" s="65" t="s">
        <v>38</v>
      </c>
      <c r="AH8" s="65" t="s">
        <v>38</v>
      </c>
      <c r="AI8" s="65" t="s">
        <v>38</v>
      </c>
      <c r="AJ8" s="65" t="str">
        <f t="shared" si="2"/>
        <v>Wo</v>
      </c>
      <c r="AK8" s="65" t="s">
        <v>38</v>
      </c>
      <c r="AL8" s="65" t="s">
        <v>39</v>
      </c>
      <c r="AM8" s="65" t="s">
        <v>38</v>
      </c>
      <c r="AN8" s="65" t="s">
        <v>40</v>
      </c>
      <c r="AO8" s="16" t="s">
        <v>38</v>
      </c>
      <c r="AP8" s="77"/>
      <c r="AQ8" s="13"/>
      <c r="AR8" s="135">
        <v>1</v>
      </c>
      <c r="AS8" s="106">
        <v>1001</v>
      </c>
      <c r="AT8" s="106" t="str">
        <f t="shared" ref="AT8:AT27" si="3">$L$4</f>
        <v>November</v>
      </c>
      <c r="AU8" s="106" t="s">
        <v>1</v>
      </c>
      <c r="AV8" s="109">
        <f t="shared" ref="AV8:AV27" si="4">COUNTIF($K8:$AO8,"*P*")</f>
        <v>20</v>
      </c>
      <c r="AW8" s="109">
        <f t="shared" ref="AW8:AW27" si="5">COUNTIF($K8:$AO8,"*A*")</f>
        <v>3</v>
      </c>
      <c r="AX8" s="109">
        <f t="shared" ref="AX8:AX27" si="6">COUNTIF($K8:$AO8,"*L*")</f>
        <v>4</v>
      </c>
      <c r="AY8" s="109">
        <f>$J$8</f>
        <v>4</v>
      </c>
      <c r="AZ8" s="112">
        <f>$K$4</f>
        <v>30</v>
      </c>
      <c r="BA8" s="112">
        <f>(AZ8-AW8)</f>
        <v>27</v>
      </c>
      <c r="BB8" s="115">
        <v>15000</v>
      </c>
      <c r="BC8" s="122">
        <f>NovReport[[#This Row],[SALARY]]/NovReport[[#This Row],[PAID DAYS]]</f>
        <v>555.55555555555554</v>
      </c>
      <c r="BD8" s="118">
        <f>NovReport[[#This Row],[SALARY]]-NovReport[[#This Row],[ DEDUCTION]]</f>
        <v>14444.444444444445</v>
      </c>
      <c r="BE8" s="124"/>
      <c r="BF8" s="14"/>
      <c r="BG8" s="76"/>
      <c r="BH8" s="4"/>
      <c r="BI8" s="4"/>
      <c r="BJ8" s="4"/>
      <c r="BK8" s="4"/>
      <c r="BL8" s="4"/>
      <c r="BM8" s="4"/>
    </row>
    <row r="9" spans="4:65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7">COUNTIF($K$6:$AO$6,"sun")</f>
        <v>4</v>
      </c>
      <c r="K9" s="51" t="s">
        <v>38</v>
      </c>
      <c r="L9" s="51" t="s">
        <v>39</v>
      </c>
      <c r="M9" s="51" t="s">
        <v>38</v>
      </c>
      <c r="N9" s="51" t="s">
        <v>38</v>
      </c>
      <c r="O9" s="51" t="str">
        <f t="shared" si="2"/>
        <v>Wo</v>
      </c>
      <c r="P9" s="51" t="s">
        <v>39</v>
      </c>
      <c r="Q9" s="51" t="s">
        <v>38</v>
      </c>
      <c r="R9" s="51" t="s">
        <v>40</v>
      </c>
      <c r="S9" s="51" t="s">
        <v>38</v>
      </c>
      <c r="T9" s="51" t="s">
        <v>38</v>
      </c>
      <c r="U9" s="51" t="s">
        <v>38</v>
      </c>
      <c r="V9" s="51" t="str">
        <f t="shared" si="2"/>
        <v>Wo</v>
      </c>
      <c r="W9" s="51" t="s">
        <v>38</v>
      </c>
      <c r="X9" s="51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51" t="str">
        <f t="shared" si="2"/>
        <v>Wo</v>
      </c>
      <c r="AD9" s="65" t="s">
        <v>38</v>
      </c>
      <c r="AE9" s="65" t="s">
        <v>39</v>
      </c>
      <c r="AF9" s="65" t="s">
        <v>40</v>
      </c>
      <c r="AG9" s="65" t="s">
        <v>38</v>
      </c>
      <c r="AH9" s="65" t="s">
        <v>38</v>
      </c>
      <c r="AI9" s="65" t="s">
        <v>38</v>
      </c>
      <c r="AJ9" s="65" t="str">
        <f t="shared" si="2"/>
        <v>Wo</v>
      </c>
      <c r="AK9" s="65" t="s">
        <v>38</v>
      </c>
      <c r="AL9" s="65" t="s">
        <v>38</v>
      </c>
      <c r="AM9" s="65" t="s">
        <v>38</v>
      </c>
      <c r="AN9" s="65" t="s">
        <v>40</v>
      </c>
      <c r="AO9" s="16" t="s">
        <v>38</v>
      </c>
      <c r="AP9" s="77"/>
      <c r="AQ9" s="13"/>
      <c r="AR9" s="7">
        <v>2</v>
      </c>
      <c r="AS9" s="107">
        <v>1002</v>
      </c>
      <c r="AT9" s="107" t="str">
        <f t="shared" si="3"/>
        <v>November</v>
      </c>
      <c r="AU9" s="107" t="s">
        <v>2</v>
      </c>
      <c r="AV9" s="110">
        <f t="shared" si="4"/>
        <v>20</v>
      </c>
      <c r="AW9" s="110">
        <f t="shared" si="5"/>
        <v>3</v>
      </c>
      <c r="AX9" s="110">
        <f t="shared" si="6"/>
        <v>4</v>
      </c>
      <c r="AY9" s="110">
        <f t="shared" ref="AY9:AY27" si="8">$J$8</f>
        <v>4</v>
      </c>
      <c r="AZ9" s="113">
        <f t="shared" ref="AZ9:AZ27" si="9">$K$4</f>
        <v>30</v>
      </c>
      <c r="BA9" s="113">
        <f t="shared" ref="BA9:BA27" si="10">(AZ9-AW9)</f>
        <v>27</v>
      </c>
      <c r="BB9" s="116">
        <v>16000</v>
      </c>
      <c r="BC9" s="123">
        <f>NovReport[[#This Row],[SALARY]]/NovReport[[#This Row],[PAID DAYS]]</f>
        <v>592.59259259259261</v>
      </c>
      <c r="BD9" s="119">
        <f>NovReport[[#This Row],[SALARY]]-NovReport[[#This Row],[ DEDUCTION]]</f>
        <v>15407.407407407407</v>
      </c>
      <c r="BE9" s="121"/>
      <c r="BF9" s="14"/>
      <c r="BG9" s="76"/>
      <c r="BH9" s="4"/>
      <c r="BI9" s="4"/>
      <c r="BJ9" s="4"/>
      <c r="BK9" s="4"/>
      <c r="BL9" s="4"/>
      <c r="BM9" s="4"/>
    </row>
    <row r="10" spans="4:65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7"/>
        <v>4</v>
      </c>
      <c r="K10" s="51" t="s">
        <v>38</v>
      </c>
      <c r="L10" s="51" t="s">
        <v>38</v>
      </c>
      <c r="M10" s="51" t="s">
        <v>39</v>
      </c>
      <c r="N10" s="51" t="s">
        <v>38</v>
      </c>
      <c r="O10" s="51" t="str">
        <f t="shared" si="2"/>
        <v>Wo</v>
      </c>
      <c r="P10" s="51" t="s">
        <v>38</v>
      </c>
      <c r="Q10" s="51" t="s">
        <v>38</v>
      </c>
      <c r="R10" s="51" t="s">
        <v>40</v>
      </c>
      <c r="S10" s="51" t="s">
        <v>38</v>
      </c>
      <c r="T10" s="51" t="s">
        <v>38</v>
      </c>
      <c r="U10" s="51" t="s">
        <v>38</v>
      </c>
      <c r="V10" s="51" t="str">
        <f t="shared" si="2"/>
        <v>Wo</v>
      </c>
      <c r="W10" s="51" t="s">
        <v>38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51" t="str">
        <f t="shared" si="2"/>
        <v>Wo</v>
      </c>
      <c r="AD10" s="65" t="s">
        <v>38</v>
      </c>
      <c r="AE10" s="65" t="s">
        <v>39</v>
      </c>
      <c r="AF10" s="65" t="s">
        <v>40</v>
      </c>
      <c r="AG10" s="65" t="s">
        <v>38</v>
      </c>
      <c r="AH10" s="65" t="s">
        <v>38</v>
      </c>
      <c r="AI10" s="65" t="s">
        <v>38</v>
      </c>
      <c r="AJ10" s="65" t="str">
        <f t="shared" si="2"/>
        <v>Wo</v>
      </c>
      <c r="AK10" s="65" t="s">
        <v>38</v>
      </c>
      <c r="AL10" s="65" t="s">
        <v>38</v>
      </c>
      <c r="AM10" s="65" t="s">
        <v>38</v>
      </c>
      <c r="AN10" s="65" t="s">
        <v>40</v>
      </c>
      <c r="AO10" s="16" t="s">
        <v>38</v>
      </c>
      <c r="AP10" s="77"/>
      <c r="AQ10" s="13"/>
      <c r="AR10" s="7">
        <v>3</v>
      </c>
      <c r="AS10" s="107">
        <v>1003</v>
      </c>
      <c r="AT10" s="107" t="str">
        <f t="shared" si="3"/>
        <v>November</v>
      </c>
      <c r="AU10" s="107" t="s">
        <v>3</v>
      </c>
      <c r="AV10" s="110">
        <f t="shared" si="4"/>
        <v>21</v>
      </c>
      <c r="AW10" s="110">
        <f t="shared" si="5"/>
        <v>2</v>
      </c>
      <c r="AX10" s="110">
        <f t="shared" si="6"/>
        <v>4</v>
      </c>
      <c r="AY10" s="110">
        <f t="shared" si="8"/>
        <v>4</v>
      </c>
      <c r="AZ10" s="113">
        <f t="shared" si="9"/>
        <v>30</v>
      </c>
      <c r="BA10" s="113">
        <f t="shared" si="10"/>
        <v>28</v>
      </c>
      <c r="BB10" s="116">
        <v>18000</v>
      </c>
      <c r="BC10" s="123">
        <f>NovReport[[#This Row],[SALARY]]/NovReport[[#This Row],[PAID DAYS]]</f>
        <v>642.85714285714289</v>
      </c>
      <c r="BD10" s="119">
        <f>NovReport[[#This Row],[SALARY]]-NovReport[[#This Row],[ DEDUCTION]]</f>
        <v>17357.142857142859</v>
      </c>
      <c r="BE10" s="121"/>
      <c r="BF10" s="14"/>
      <c r="BG10" s="76"/>
      <c r="BH10" s="4"/>
      <c r="BI10" s="4"/>
      <c r="BJ10" s="4"/>
      <c r="BK10" s="4"/>
      <c r="BL10" s="4"/>
      <c r="BM10" s="4"/>
    </row>
    <row r="11" spans="4:65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7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2"/>
        <v>Wo</v>
      </c>
      <c r="P11" s="51" t="s">
        <v>39</v>
      </c>
      <c r="Q11" s="51" t="s">
        <v>38</v>
      </c>
      <c r="R11" s="51" t="s">
        <v>40</v>
      </c>
      <c r="S11" s="51" t="s">
        <v>38</v>
      </c>
      <c r="T11" s="51" t="s">
        <v>38</v>
      </c>
      <c r="U11" s="51" t="s">
        <v>38</v>
      </c>
      <c r="V11" s="51" t="str">
        <f t="shared" si="2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38</v>
      </c>
      <c r="AB11" s="51" t="s">
        <v>38</v>
      </c>
      <c r="AC11" s="51" t="str">
        <f t="shared" si="2"/>
        <v>Wo</v>
      </c>
      <c r="AD11" s="65" t="s">
        <v>38</v>
      </c>
      <c r="AE11" s="65" t="s">
        <v>39</v>
      </c>
      <c r="AF11" s="65" t="s">
        <v>40</v>
      </c>
      <c r="AG11" s="65" t="s">
        <v>38</v>
      </c>
      <c r="AH11" s="65" t="s">
        <v>38</v>
      </c>
      <c r="AI11" s="65" t="s">
        <v>38</v>
      </c>
      <c r="AJ11" s="65" t="str">
        <f t="shared" si="2"/>
        <v>Wo</v>
      </c>
      <c r="AK11" s="65" t="s">
        <v>38</v>
      </c>
      <c r="AL11" s="65" t="s">
        <v>38</v>
      </c>
      <c r="AM11" s="65" t="s">
        <v>38</v>
      </c>
      <c r="AN11" s="65" t="s">
        <v>40</v>
      </c>
      <c r="AO11" s="16" t="s">
        <v>38</v>
      </c>
      <c r="AP11" s="77"/>
      <c r="AQ11" s="13"/>
      <c r="AR11" s="7">
        <v>4</v>
      </c>
      <c r="AS11" s="107">
        <v>1004</v>
      </c>
      <c r="AT11" s="107" t="str">
        <f t="shared" si="3"/>
        <v>November</v>
      </c>
      <c r="AU11" s="107" t="s">
        <v>4</v>
      </c>
      <c r="AV11" s="110">
        <f t="shared" si="4"/>
        <v>21</v>
      </c>
      <c r="AW11" s="110">
        <f t="shared" si="5"/>
        <v>2</v>
      </c>
      <c r="AX11" s="110">
        <f t="shared" si="6"/>
        <v>4</v>
      </c>
      <c r="AY11" s="110">
        <f t="shared" si="8"/>
        <v>4</v>
      </c>
      <c r="AZ11" s="113">
        <f t="shared" si="9"/>
        <v>30</v>
      </c>
      <c r="BA11" s="113">
        <f t="shared" si="10"/>
        <v>28</v>
      </c>
      <c r="BB11" s="116">
        <v>21000</v>
      </c>
      <c r="BC11" s="123">
        <f>NovReport[[#This Row],[SALARY]]/NovReport[[#This Row],[PAID DAYS]]</f>
        <v>750</v>
      </c>
      <c r="BD11" s="119">
        <f>NovReport[[#This Row],[SALARY]]-NovReport[[#This Row],[ DEDUCTION]]</f>
        <v>20250</v>
      </c>
      <c r="BE11" s="121"/>
      <c r="BF11" s="14"/>
      <c r="BG11" s="76"/>
      <c r="BH11" s="4"/>
      <c r="BI11" s="4"/>
      <c r="BJ11" s="4"/>
      <c r="BK11" s="4"/>
      <c r="BL11" s="4"/>
      <c r="BM11" s="4"/>
    </row>
    <row r="12" spans="4:65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7"/>
        <v>4</v>
      </c>
      <c r="K12" s="51" t="s">
        <v>39</v>
      </c>
      <c r="L12" s="51" t="s">
        <v>38</v>
      </c>
      <c r="M12" s="51" t="s">
        <v>38</v>
      </c>
      <c r="N12" s="51" t="s">
        <v>38</v>
      </c>
      <c r="O12" s="51" t="str">
        <f t="shared" si="2"/>
        <v>Wo</v>
      </c>
      <c r="P12" s="51" t="s">
        <v>38</v>
      </c>
      <c r="Q12" s="51" t="s">
        <v>38</v>
      </c>
      <c r="R12" s="51" t="s">
        <v>40</v>
      </c>
      <c r="S12" s="51" t="s">
        <v>38</v>
      </c>
      <c r="T12" s="51" t="s">
        <v>38</v>
      </c>
      <c r="U12" s="51" t="s">
        <v>38</v>
      </c>
      <c r="V12" s="51" t="str">
        <f t="shared" si="2"/>
        <v>Wo</v>
      </c>
      <c r="W12" s="51" t="s">
        <v>38</v>
      </c>
      <c r="X12" s="51" t="s">
        <v>39</v>
      </c>
      <c r="Y12" s="51" t="s">
        <v>38</v>
      </c>
      <c r="Z12" s="51" t="s">
        <v>40</v>
      </c>
      <c r="AA12" s="51" t="s">
        <v>38</v>
      </c>
      <c r="AB12" s="51" t="s">
        <v>38</v>
      </c>
      <c r="AC12" s="51" t="str">
        <f t="shared" si="2"/>
        <v>Wo</v>
      </c>
      <c r="AD12" s="65" t="s">
        <v>38</v>
      </c>
      <c r="AE12" s="65" t="s">
        <v>39</v>
      </c>
      <c r="AF12" s="65" t="s">
        <v>40</v>
      </c>
      <c r="AG12" s="65" t="s">
        <v>38</v>
      </c>
      <c r="AH12" s="65" t="s">
        <v>38</v>
      </c>
      <c r="AI12" s="65" t="s">
        <v>38</v>
      </c>
      <c r="AJ12" s="65" t="str">
        <f t="shared" si="2"/>
        <v>Wo</v>
      </c>
      <c r="AK12" s="65" t="s">
        <v>38</v>
      </c>
      <c r="AL12" s="65" t="s">
        <v>38</v>
      </c>
      <c r="AM12" s="65" t="s">
        <v>38</v>
      </c>
      <c r="AN12" s="65" t="s">
        <v>40</v>
      </c>
      <c r="AO12" s="16" t="s">
        <v>38</v>
      </c>
      <c r="AP12" s="77"/>
      <c r="AQ12" s="13"/>
      <c r="AR12" s="7">
        <v>5</v>
      </c>
      <c r="AS12" s="107">
        <v>1005</v>
      </c>
      <c r="AT12" s="107" t="str">
        <f t="shared" si="3"/>
        <v>November</v>
      </c>
      <c r="AU12" s="107" t="s">
        <v>5</v>
      </c>
      <c r="AV12" s="110">
        <f t="shared" si="4"/>
        <v>20</v>
      </c>
      <c r="AW12" s="110">
        <f t="shared" si="5"/>
        <v>3</v>
      </c>
      <c r="AX12" s="110">
        <f t="shared" si="6"/>
        <v>4</v>
      </c>
      <c r="AY12" s="110">
        <f t="shared" si="8"/>
        <v>4</v>
      </c>
      <c r="AZ12" s="113">
        <f t="shared" si="9"/>
        <v>30</v>
      </c>
      <c r="BA12" s="113">
        <f t="shared" si="10"/>
        <v>27</v>
      </c>
      <c r="BB12" s="116">
        <v>30000</v>
      </c>
      <c r="BC12" s="123">
        <f>NovReport[[#This Row],[SALARY]]/NovReport[[#This Row],[PAID DAYS]]</f>
        <v>1111.1111111111111</v>
      </c>
      <c r="BD12" s="119">
        <f>NovReport[[#This Row],[SALARY]]-NovReport[[#This Row],[ DEDUCTION]]</f>
        <v>28888.888888888891</v>
      </c>
      <c r="BE12" s="121"/>
      <c r="BF12" s="14"/>
      <c r="BG12" s="76"/>
      <c r="BH12" s="4"/>
      <c r="BI12" s="4"/>
      <c r="BJ12" s="4"/>
      <c r="BK12" s="4"/>
      <c r="BL12" s="4"/>
      <c r="BM12" s="4"/>
    </row>
    <row r="13" spans="4:65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7"/>
        <v>4</v>
      </c>
      <c r="K13" s="51" t="s">
        <v>38</v>
      </c>
      <c r="L13" s="51" t="s">
        <v>39</v>
      </c>
      <c r="M13" s="51" t="s">
        <v>38</v>
      </c>
      <c r="N13" s="51" t="s">
        <v>38</v>
      </c>
      <c r="O13" s="51" t="str">
        <f t="shared" si="2"/>
        <v>Wo</v>
      </c>
      <c r="P13" s="51" t="s">
        <v>39</v>
      </c>
      <c r="Q13" s="51" t="s">
        <v>38</v>
      </c>
      <c r="R13" s="51" t="s">
        <v>40</v>
      </c>
      <c r="S13" s="51" t="s">
        <v>38</v>
      </c>
      <c r="T13" s="51" t="s">
        <v>38</v>
      </c>
      <c r="U13" s="51" t="s">
        <v>38</v>
      </c>
      <c r="V13" s="51" t="str">
        <f t="shared" si="2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38</v>
      </c>
      <c r="AC13" s="51" t="str">
        <f t="shared" si="2"/>
        <v>Wo</v>
      </c>
      <c r="AD13" s="65" t="s">
        <v>38</v>
      </c>
      <c r="AE13" s="65" t="s">
        <v>39</v>
      </c>
      <c r="AF13" s="65" t="s">
        <v>40</v>
      </c>
      <c r="AG13" s="65" t="s">
        <v>38</v>
      </c>
      <c r="AH13" s="65" t="s">
        <v>38</v>
      </c>
      <c r="AI13" s="65" t="s">
        <v>38</v>
      </c>
      <c r="AJ13" s="65" t="str">
        <f t="shared" si="2"/>
        <v>Wo</v>
      </c>
      <c r="AK13" s="65" t="s">
        <v>38</v>
      </c>
      <c r="AL13" s="65" t="s">
        <v>39</v>
      </c>
      <c r="AM13" s="65" t="s">
        <v>38</v>
      </c>
      <c r="AN13" s="65" t="s">
        <v>40</v>
      </c>
      <c r="AO13" s="16" t="s">
        <v>38</v>
      </c>
      <c r="AP13" s="77"/>
      <c r="AQ13" s="13"/>
      <c r="AR13" s="7">
        <v>6</v>
      </c>
      <c r="AS13" s="107">
        <v>1006</v>
      </c>
      <c r="AT13" s="107" t="str">
        <f t="shared" si="3"/>
        <v>November</v>
      </c>
      <c r="AU13" s="107" t="s">
        <v>6</v>
      </c>
      <c r="AV13" s="110">
        <f t="shared" si="4"/>
        <v>19</v>
      </c>
      <c r="AW13" s="110">
        <f t="shared" si="5"/>
        <v>4</v>
      </c>
      <c r="AX13" s="110">
        <f t="shared" si="6"/>
        <v>4</v>
      </c>
      <c r="AY13" s="110">
        <f t="shared" si="8"/>
        <v>4</v>
      </c>
      <c r="AZ13" s="113">
        <f t="shared" si="9"/>
        <v>30</v>
      </c>
      <c r="BA13" s="113">
        <f t="shared" si="10"/>
        <v>26</v>
      </c>
      <c r="BB13" s="116">
        <v>25000</v>
      </c>
      <c r="BC13" s="123">
        <f>NovReport[[#This Row],[SALARY]]/NovReport[[#This Row],[PAID DAYS]]</f>
        <v>961.53846153846155</v>
      </c>
      <c r="BD13" s="119">
        <f>NovReport[[#This Row],[SALARY]]-NovReport[[#This Row],[ DEDUCTION]]</f>
        <v>24038.461538461539</v>
      </c>
      <c r="BE13" s="121"/>
      <c r="BF13" s="14"/>
      <c r="BG13" s="76"/>
      <c r="BH13" s="4"/>
      <c r="BI13" s="4"/>
      <c r="BJ13" s="4"/>
      <c r="BK13" s="4"/>
      <c r="BL13" s="4"/>
      <c r="BM13" s="4"/>
    </row>
    <row r="14" spans="4:65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7"/>
        <v>4</v>
      </c>
      <c r="K14" s="51" t="s">
        <v>38</v>
      </c>
      <c r="L14" s="51" t="s">
        <v>38</v>
      </c>
      <c r="M14" s="51" t="s">
        <v>39</v>
      </c>
      <c r="N14" s="51" t="s">
        <v>38</v>
      </c>
      <c r="O14" s="51" t="str">
        <f t="shared" si="2"/>
        <v>Wo</v>
      </c>
      <c r="P14" s="51" t="s">
        <v>38</v>
      </c>
      <c r="Q14" s="51" t="s">
        <v>38</v>
      </c>
      <c r="R14" s="51" t="s">
        <v>40</v>
      </c>
      <c r="S14" s="51" t="s">
        <v>38</v>
      </c>
      <c r="T14" s="51" t="s">
        <v>38</v>
      </c>
      <c r="U14" s="51" t="s">
        <v>38</v>
      </c>
      <c r="V14" s="51" t="str">
        <f t="shared" si="2"/>
        <v>Wo</v>
      </c>
      <c r="W14" s="51" t="s">
        <v>38</v>
      </c>
      <c r="X14" s="51" t="s">
        <v>38</v>
      </c>
      <c r="Y14" s="51" t="s">
        <v>38</v>
      </c>
      <c r="Z14" s="51" t="s">
        <v>40</v>
      </c>
      <c r="AA14" s="51" t="s">
        <v>38</v>
      </c>
      <c r="AB14" s="51" t="s">
        <v>38</v>
      </c>
      <c r="AC14" s="51" t="str">
        <f t="shared" si="2"/>
        <v>Wo</v>
      </c>
      <c r="AD14" s="65" t="s">
        <v>38</v>
      </c>
      <c r="AE14" s="65" t="s">
        <v>38</v>
      </c>
      <c r="AF14" s="65" t="s">
        <v>40</v>
      </c>
      <c r="AG14" s="65" t="s">
        <v>38</v>
      </c>
      <c r="AH14" s="65" t="s">
        <v>38</v>
      </c>
      <c r="AI14" s="65" t="s">
        <v>38</v>
      </c>
      <c r="AJ14" s="65" t="str">
        <f t="shared" si="2"/>
        <v>Wo</v>
      </c>
      <c r="AK14" s="65" t="s">
        <v>38</v>
      </c>
      <c r="AL14" s="65" t="s">
        <v>38</v>
      </c>
      <c r="AM14" s="65" t="s">
        <v>38</v>
      </c>
      <c r="AN14" s="65" t="s">
        <v>40</v>
      </c>
      <c r="AO14" s="16" t="s">
        <v>39</v>
      </c>
      <c r="AP14" s="77"/>
      <c r="AQ14" s="13"/>
      <c r="AR14" s="7">
        <v>7</v>
      </c>
      <c r="AS14" s="107">
        <v>1007</v>
      </c>
      <c r="AT14" s="107" t="str">
        <f t="shared" si="3"/>
        <v>November</v>
      </c>
      <c r="AU14" s="107" t="s">
        <v>7</v>
      </c>
      <c r="AV14" s="110">
        <f t="shared" si="4"/>
        <v>21</v>
      </c>
      <c r="AW14" s="110">
        <f t="shared" si="5"/>
        <v>2</v>
      </c>
      <c r="AX14" s="110">
        <f t="shared" si="6"/>
        <v>4</v>
      </c>
      <c r="AY14" s="110">
        <f t="shared" si="8"/>
        <v>4</v>
      </c>
      <c r="AZ14" s="113">
        <f t="shared" si="9"/>
        <v>30</v>
      </c>
      <c r="BA14" s="113">
        <f t="shared" si="10"/>
        <v>28</v>
      </c>
      <c r="BB14" s="116">
        <v>30000</v>
      </c>
      <c r="BC14" s="123">
        <f>NovReport[[#This Row],[SALARY]]/NovReport[[#This Row],[PAID DAYS]]</f>
        <v>1071.4285714285713</v>
      </c>
      <c r="BD14" s="119">
        <f>NovReport[[#This Row],[SALARY]]-NovReport[[#This Row],[ DEDUCTION]]</f>
        <v>28928.571428571428</v>
      </c>
      <c r="BE14" s="121"/>
      <c r="BF14" s="14"/>
      <c r="BG14" s="76"/>
      <c r="BH14" s="4"/>
      <c r="BI14" s="4"/>
      <c r="BJ14" s="4"/>
      <c r="BK14" s="4"/>
      <c r="BL14" s="4"/>
      <c r="BM14" s="4"/>
    </row>
    <row r="15" spans="4:65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7"/>
        <v>4</v>
      </c>
      <c r="K15" s="51" t="s">
        <v>39</v>
      </c>
      <c r="L15" s="51" t="s">
        <v>38</v>
      </c>
      <c r="M15" s="51" t="s">
        <v>38</v>
      </c>
      <c r="N15" s="51" t="s">
        <v>38</v>
      </c>
      <c r="O15" s="51" t="str">
        <f t="shared" si="2"/>
        <v>Wo</v>
      </c>
      <c r="P15" s="51" t="s">
        <v>39</v>
      </c>
      <c r="Q15" s="51" t="s">
        <v>38</v>
      </c>
      <c r="R15" s="51" t="s">
        <v>40</v>
      </c>
      <c r="S15" s="51" t="s">
        <v>38</v>
      </c>
      <c r="T15" s="51" t="s">
        <v>38</v>
      </c>
      <c r="U15" s="51" t="s">
        <v>38</v>
      </c>
      <c r="V15" s="51" t="str">
        <f t="shared" si="2"/>
        <v>Wo</v>
      </c>
      <c r="W15" s="51" t="s">
        <v>38</v>
      </c>
      <c r="X15" s="51" t="s">
        <v>38</v>
      </c>
      <c r="Y15" s="51" t="s">
        <v>38</v>
      </c>
      <c r="Z15" s="51" t="s">
        <v>40</v>
      </c>
      <c r="AA15" s="51" t="s">
        <v>38</v>
      </c>
      <c r="AB15" s="51" t="s">
        <v>38</v>
      </c>
      <c r="AC15" s="51" t="str">
        <f t="shared" si="2"/>
        <v>Wo</v>
      </c>
      <c r="AD15" s="65" t="s">
        <v>38</v>
      </c>
      <c r="AE15" s="65" t="s">
        <v>38</v>
      </c>
      <c r="AF15" s="65" t="s">
        <v>40</v>
      </c>
      <c r="AG15" s="65" t="s">
        <v>38</v>
      </c>
      <c r="AH15" s="65" t="s">
        <v>38</v>
      </c>
      <c r="AI15" s="65" t="s">
        <v>38</v>
      </c>
      <c r="AJ15" s="65" t="str">
        <f t="shared" si="2"/>
        <v>Wo</v>
      </c>
      <c r="AK15" s="65" t="s">
        <v>38</v>
      </c>
      <c r="AL15" s="65" t="s">
        <v>38</v>
      </c>
      <c r="AM15" s="65" t="s">
        <v>38</v>
      </c>
      <c r="AN15" s="65" t="s">
        <v>40</v>
      </c>
      <c r="AO15" s="16" t="s">
        <v>38</v>
      </c>
      <c r="AP15" s="77"/>
      <c r="AQ15" s="13"/>
      <c r="AR15" s="7">
        <v>8</v>
      </c>
      <c r="AS15" s="107">
        <v>1008</v>
      </c>
      <c r="AT15" s="107" t="str">
        <f t="shared" si="3"/>
        <v>November</v>
      </c>
      <c r="AU15" s="107" t="s">
        <v>8</v>
      </c>
      <c r="AV15" s="110">
        <f t="shared" si="4"/>
        <v>21</v>
      </c>
      <c r="AW15" s="110">
        <f t="shared" si="5"/>
        <v>2</v>
      </c>
      <c r="AX15" s="110">
        <f t="shared" si="6"/>
        <v>4</v>
      </c>
      <c r="AY15" s="110">
        <f t="shared" si="8"/>
        <v>4</v>
      </c>
      <c r="AZ15" s="113">
        <f t="shared" si="9"/>
        <v>30</v>
      </c>
      <c r="BA15" s="113">
        <f t="shared" si="10"/>
        <v>28</v>
      </c>
      <c r="BB15" s="116">
        <v>35000</v>
      </c>
      <c r="BC15" s="123">
        <f>NovReport[[#This Row],[SALARY]]/NovReport[[#This Row],[PAID DAYS]]</f>
        <v>1250</v>
      </c>
      <c r="BD15" s="119">
        <f>NovReport[[#This Row],[SALARY]]-NovReport[[#This Row],[ DEDUCTION]]</f>
        <v>33750</v>
      </c>
      <c r="BE15" s="121"/>
      <c r="BF15" s="14"/>
      <c r="BG15" s="76"/>
      <c r="BH15" s="4"/>
      <c r="BI15" s="4"/>
      <c r="BJ15" s="4"/>
      <c r="BK15" s="4"/>
      <c r="BL15" s="4"/>
      <c r="BM15" s="4"/>
    </row>
    <row r="16" spans="4:65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7"/>
        <v>4</v>
      </c>
      <c r="K16" s="51" t="s">
        <v>38</v>
      </c>
      <c r="L16" s="51" t="s">
        <v>39</v>
      </c>
      <c r="M16" s="51" t="s">
        <v>38</v>
      </c>
      <c r="N16" s="51" t="s">
        <v>38</v>
      </c>
      <c r="O16" s="51" t="str">
        <f t="shared" si="2"/>
        <v>Wo</v>
      </c>
      <c r="P16" s="51" t="s">
        <v>38</v>
      </c>
      <c r="Q16" s="51" t="s">
        <v>38</v>
      </c>
      <c r="R16" s="51" t="s">
        <v>40</v>
      </c>
      <c r="S16" s="51" t="s">
        <v>38</v>
      </c>
      <c r="T16" s="51" t="s">
        <v>38</v>
      </c>
      <c r="U16" s="51" t="s">
        <v>38</v>
      </c>
      <c r="V16" s="51" t="str">
        <f t="shared" si="2"/>
        <v>Wo</v>
      </c>
      <c r="W16" s="51" t="s">
        <v>38</v>
      </c>
      <c r="X16" s="51" t="s">
        <v>38</v>
      </c>
      <c r="Y16" s="51" t="s">
        <v>38</v>
      </c>
      <c r="Z16" s="51" t="s">
        <v>40</v>
      </c>
      <c r="AA16" s="51" t="s">
        <v>38</v>
      </c>
      <c r="AB16" s="51" t="s">
        <v>38</v>
      </c>
      <c r="AC16" s="51" t="str">
        <f t="shared" si="2"/>
        <v>Wo</v>
      </c>
      <c r="AD16" s="65" t="s">
        <v>38</v>
      </c>
      <c r="AE16" s="65" t="s">
        <v>38</v>
      </c>
      <c r="AF16" s="65" t="s">
        <v>40</v>
      </c>
      <c r="AG16" s="65" t="s">
        <v>38</v>
      </c>
      <c r="AH16" s="65" t="s">
        <v>38</v>
      </c>
      <c r="AI16" s="65" t="s">
        <v>38</v>
      </c>
      <c r="AJ16" s="65" t="str">
        <f t="shared" si="2"/>
        <v>Wo</v>
      </c>
      <c r="AK16" s="65" t="s">
        <v>39</v>
      </c>
      <c r="AL16" s="65" t="s">
        <v>38</v>
      </c>
      <c r="AM16" s="65" t="s">
        <v>38</v>
      </c>
      <c r="AN16" s="65" t="s">
        <v>40</v>
      </c>
      <c r="AO16" s="16" t="s">
        <v>38</v>
      </c>
      <c r="AP16" s="77"/>
      <c r="AQ16" s="13"/>
      <c r="AR16" s="7">
        <v>9</v>
      </c>
      <c r="AS16" s="107">
        <v>1009</v>
      </c>
      <c r="AT16" s="107" t="str">
        <f t="shared" si="3"/>
        <v>November</v>
      </c>
      <c r="AU16" s="107" t="s">
        <v>9</v>
      </c>
      <c r="AV16" s="110">
        <f t="shared" si="4"/>
        <v>21</v>
      </c>
      <c r="AW16" s="110">
        <f t="shared" si="5"/>
        <v>2</v>
      </c>
      <c r="AX16" s="110">
        <f t="shared" si="6"/>
        <v>4</v>
      </c>
      <c r="AY16" s="110">
        <f t="shared" si="8"/>
        <v>4</v>
      </c>
      <c r="AZ16" s="113">
        <f t="shared" si="9"/>
        <v>30</v>
      </c>
      <c r="BA16" s="113">
        <f t="shared" si="10"/>
        <v>28</v>
      </c>
      <c r="BB16" s="116">
        <v>18000</v>
      </c>
      <c r="BC16" s="123">
        <f>NovReport[[#This Row],[SALARY]]/NovReport[[#This Row],[PAID DAYS]]</f>
        <v>642.85714285714289</v>
      </c>
      <c r="BD16" s="119">
        <f>NovReport[[#This Row],[SALARY]]-NovReport[[#This Row],[ DEDUCTION]]</f>
        <v>17357.142857142859</v>
      </c>
      <c r="BE16" s="121"/>
      <c r="BF16" s="14"/>
      <c r="BG16" s="76"/>
      <c r="BH16" s="4"/>
      <c r="BI16" s="4"/>
      <c r="BJ16" s="4"/>
      <c r="BK16" s="4"/>
      <c r="BL16" s="4"/>
      <c r="BM16" s="4"/>
    </row>
    <row r="17" spans="4:65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7"/>
        <v>4</v>
      </c>
      <c r="K17" s="51" t="s">
        <v>38</v>
      </c>
      <c r="L17" s="51" t="s">
        <v>38</v>
      </c>
      <c r="M17" s="51" t="s">
        <v>39</v>
      </c>
      <c r="N17" s="51" t="s">
        <v>38</v>
      </c>
      <c r="O17" s="51" t="str">
        <f t="shared" si="2"/>
        <v>Wo</v>
      </c>
      <c r="P17" s="51" t="s">
        <v>39</v>
      </c>
      <c r="Q17" s="51" t="s">
        <v>38</v>
      </c>
      <c r="R17" s="51" t="s">
        <v>40</v>
      </c>
      <c r="S17" s="51" t="s">
        <v>38</v>
      </c>
      <c r="T17" s="51" t="s">
        <v>38</v>
      </c>
      <c r="U17" s="51" t="s">
        <v>38</v>
      </c>
      <c r="V17" s="51" t="str">
        <f t="shared" si="2"/>
        <v>Wo</v>
      </c>
      <c r="W17" s="51" t="s">
        <v>38</v>
      </c>
      <c r="X17" s="51" t="s">
        <v>38</v>
      </c>
      <c r="Y17" s="51" t="s">
        <v>38</v>
      </c>
      <c r="Z17" s="51" t="s">
        <v>40</v>
      </c>
      <c r="AA17" s="51" t="s">
        <v>38</v>
      </c>
      <c r="AB17" s="51" t="s">
        <v>38</v>
      </c>
      <c r="AC17" s="51" t="str">
        <f t="shared" si="2"/>
        <v>Wo</v>
      </c>
      <c r="AD17" s="65" t="s">
        <v>38</v>
      </c>
      <c r="AE17" s="65" t="s">
        <v>38</v>
      </c>
      <c r="AF17" s="65" t="s">
        <v>40</v>
      </c>
      <c r="AG17" s="65" t="s">
        <v>38</v>
      </c>
      <c r="AH17" s="65" t="s">
        <v>38</v>
      </c>
      <c r="AI17" s="65" t="s">
        <v>38</v>
      </c>
      <c r="AJ17" s="65" t="str">
        <f t="shared" si="2"/>
        <v>Wo</v>
      </c>
      <c r="AK17" s="65" t="s">
        <v>38</v>
      </c>
      <c r="AL17" s="65" t="s">
        <v>38</v>
      </c>
      <c r="AM17" s="65" t="s">
        <v>38</v>
      </c>
      <c r="AN17" s="65" t="s">
        <v>40</v>
      </c>
      <c r="AO17" s="16" t="s">
        <v>38</v>
      </c>
      <c r="AP17" s="77"/>
      <c r="AQ17" s="13"/>
      <c r="AR17" s="7">
        <v>10</v>
      </c>
      <c r="AS17" s="107">
        <v>1010</v>
      </c>
      <c r="AT17" s="107" t="str">
        <f t="shared" si="3"/>
        <v>November</v>
      </c>
      <c r="AU17" s="107" t="s">
        <v>10</v>
      </c>
      <c r="AV17" s="110">
        <f t="shared" si="4"/>
        <v>21</v>
      </c>
      <c r="AW17" s="110">
        <f t="shared" si="5"/>
        <v>2</v>
      </c>
      <c r="AX17" s="110">
        <f t="shared" si="6"/>
        <v>4</v>
      </c>
      <c r="AY17" s="110">
        <f t="shared" si="8"/>
        <v>4</v>
      </c>
      <c r="AZ17" s="113">
        <f t="shared" si="9"/>
        <v>30</v>
      </c>
      <c r="BA17" s="113">
        <f t="shared" si="10"/>
        <v>28</v>
      </c>
      <c r="BB17" s="116">
        <v>45000</v>
      </c>
      <c r="BC17" s="123">
        <f>NovReport[[#This Row],[SALARY]]/NovReport[[#This Row],[PAID DAYS]]</f>
        <v>1607.1428571428571</v>
      </c>
      <c r="BD17" s="119">
        <f>NovReport[[#This Row],[SALARY]]-NovReport[[#This Row],[ DEDUCTION]]</f>
        <v>43392.857142857145</v>
      </c>
      <c r="BE17" s="121"/>
      <c r="BF17" s="14"/>
      <c r="BG17" s="76"/>
      <c r="BH17" s="4"/>
      <c r="BI17" s="4"/>
      <c r="BJ17" s="4"/>
      <c r="BK17" s="4"/>
      <c r="BL17" s="4"/>
      <c r="BM17" s="4"/>
    </row>
    <row r="18" spans="4:65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7"/>
        <v>4</v>
      </c>
      <c r="K18" s="51" t="s">
        <v>38</v>
      </c>
      <c r="L18" s="51" t="s">
        <v>38</v>
      </c>
      <c r="M18" s="51" t="s">
        <v>38</v>
      </c>
      <c r="N18" s="51" t="s">
        <v>38</v>
      </c>
      <c r="O18" s="51" t="str">
        <f t="shared" si="2"/>
        <v>Wo</v>
      </c>
      <c r="P18" s="51" t="s">
        <v>38</v>
      </c>
      <c r="Q18" s="51" t="s">
        <v>38</v>
      </c>
      <c r="R18" s="51" t="s">
        <v>40</v>
      </c>
      <c r="S18" s="51" t="s">
        <v>38</v>
      </c>
      <c r="T18" s="51" t="s">
        <v>38</v>
      </c>
      <c r="U18" s="51" t="s">
        <v>38</v>
      </c>
      <c r="V18" s="51" t="str">
        <f t="shared" si="2"/>
        <v>Wo</v>
      </c>
      <c r="W18" s="51" t="s">
        <v>38</v>
      </c>
      <c r="X18" s="51" t="s">
        <v>38</v>
      </c>
      <c r="Y18" s="51" t="s">
        <v>39</v>
      </c>
      <c r="Z18" s="51" t="s">
        <v>40</v>
      </c>
      <c r="AA18" s="51" t="s">
        <v>38</v>
      </c>
      <c r="AB18" s="51" t="s">
        <v>38</v>
      </c>
      <c r="AC18" s="51" t="str">
        <f t="shared" si="2"/>
        <v>Wo</v>
      </c>
      <c r="AD18" s="65" t="s">
        <v>38</v>
      </c>
      <c r="AE18" s="65" t="s">
        <v>38</v>
      </c>
      <c r="AF18" s="65" t="s">
        <v>40</v>
      </c>
      <c r="AG18" s="65" t="s">
        <v>38</v>
      </c>
      <c r="AH18" s="65" t="s">
        <v>38</v>
      </c>
      <c r="AI18" s="65" t="s">
        <v>38</v>
      </c>
      <c r="AJ18" s="65" t="str">
        <f t="shared" si="2"/>
        <v>Wo</v>
      </c>
      <c r="AK18" s="65" t="s">
        <v>38</v>
      </c>
      <c r="AL18" s="65" t="s">
        <v>38</v>
      </c>
      <c r="AM18" s="65" t="s">
        <v>38</v>
      </c>
      <c r="AN18" s="65" t="s">
        <v>40</v>
      </c>
      <c r="AO18" s="16" t="s">
        <v>38</v>
      </c>
      <c r="AP18" s="77"/>
      <c r="AQ18" s="13"/>
      <c r="AR18" s="7">
        <v>11</v>
      </c>
      <c r="AS18" s="107">
        <v>1011</v>
      </c>
      <c r="AT18" s="107" t="str">
        <f t="shared" si="3"/>
        <v>November</v>
      </c>
      <c r="AU18" s="107" t="s">
        <v>11</v>
      </c>
      <c r="AV18" s="110">
        <f t="shared" si="4"/>
        <v>22</v>
      </c>
      <c r="AW18" s="110">
        <f t="shared" si="5"/>
        <v>1</v>
      </c>
      <c r="AX18" s="110">
        <f t="shared" si="6"/>
        <v>4</v>
      </c>
      <c r="AY18" s="110">
        <f t="shared" si="8"/>
        <v>4</v>
      </c>
      <c r="AZ18" s="113">
        <f t="shared" si="9"/>
        <v>30</v>
      </c>
      <c r="BA18" s="113">
        <f t="shared" si="10"/>
        <v>29</v>
      </c>
      <c r="BB18" s="116">
        <v>55000</v>
      </c>
      <c r="BC18" s="123">
        <f>NovReport[[#This Row],[SALARY]]/NovReport[[#This Row],[PAID DAYS]]</f>
        <v>1896.5517241379309</v>
      </c>
      <c r="BD18" s="119">
        <f>NovReport[[#This Row],[SALARY]]-NovReport[[#This Row],[ DEDUCTION]]</f>
        <v>53103.448275862072</v>
      </c>
      <c r="BE18" s="121"/>
      <c r="BF18" s="14"/>
      <c r="BG18" s="76"/>
      <c r="BH18" s="4"/>
      <c r="BI18" s="4"/>
      <c r="BJ18" s="4"/>
      <c r="BK18" s="4"/>
      <c r="BL18" s="4"/>
      <c r="BM18" s="4"/>
    </row>
    <row r="19" spans="4:65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7"/>
        <v>4</v>
      </c>
      <c r="K19" s="51" t="s">
        <v>38</v>
      </c>
      <c r="L19" s="51" t="s">
        <v>38</v>
      </c>
      <c r="M19" s="51" t="s">
        <v>38</v>
      </c>
      <c r="N19" s="51" t="s">
        <v>38</v>
      </c>
      <c r="O19" s="51" t="str">
        <f t="shared" si="2"/>
        <v>Wo</v>
      </c>
      <c r="P19" s="51" t="s">
        <v>39</v>
      </c>
      <c r="Q19" s="51" t="s">
        <v>38</v>
      </c>
      <c r="R19" s="51" t="s">
        <v>40</v>
      </c>
      <c r="S19" s="51" t="s">
        <v>38</v>
      </c>
      <c r="T19" s="51" t="s">
        <v>38</v>
      </c>
      <c r="U19" s="51" t="s">
        <v>38</v>
      </c>
      <c r="V19" s="51" t="str">
        <f t="shared" si="2"/>
        <v>Wo</v>
      </c>
      <c r="W19" s="51" t="s">
        <v>38</v>
      </c>
      <c r="X19" s="51" t="s">
        <v>38</v>
      </c>
      <c r="Y19" s="51" t="s">
        <v>38</v>
      </c>
      <c r="Z19" s="51" t="s">
        <v>40</v>
      </c>
      <c r="AA19" s="51" t="s">
        <v>38</v>
      </c>
      <c r="AB19" s="51" t="s">
        <v>38</v>
      </c>
      <c r="AC19" s="51" t="str">
        <f t="shared" si="2"/>
        <v>Wo</v>
      </c>
      <c r="AD19" s="65" t="s">
        <v>38</v>
      </c>
      <c r="AE19" s="65" t="s">
        <v>38</v>
      </c>
      <c r="AF19" s="65" t="s">
        <v>40</v>
      </c>
      <c r="AG19" s="65" t="s">
        <v>38</v>
      </c>
      <c r="AH19" s="65" t="s">
        <v>38</v>
      </c>
      <c r="AI19" s="65" t="s">
        <v>38</v>
      </c>
      <c r="AJ19" s="65" t="str">
        <f t="shared" si="2"/>
        <v>Wo</v>
      </c>
      <c r="AK19" s="65" t="s">
        <v>38</v>
      </c>
      <c r="AL19" s="65" t="s">
        <v>38</v>
      </c>
      <c r="AM19" s="65" t="s">
        <v>38</v>
      </c>
      <c r="AN19" s="65" t="s">
        <v>40</v>
      </c>
      <c r="AO19" s="16" t="s">
        <v>38</v>
      </c>
      <c r="AP19" s="77"/>
      <c r="AQ19" s="13"/>
      <c r="AR19" s="7">
        <v>12</v>
      </c>
      <c r="AS19" s="107">
        <v>1012</v>
      </c>
      <c r="AT19" s="107" t="str">
        <f t="shared" si="3"/>
        <v>November</v>
      </c>
      <c r="AU19" s="107" t="s">
        <v>12</v>
      </c>
      <c r="AV19" s="110">
        <f t="shared" si="4"/>
        <v>22</v>
      </c>
      <c r="AW19" s="110">
        <f t="shared" si="5"/>
        <v>1</v>
      </c>
      <c r="AX19" s="110">
        <f t="shared" si="6"/>
        <v>4</v>
      </c>
      <c r="AY19" s="110">
        <f t="shared" si="8"/>
        <v>4</v>
      </c>
      <c r="AZ19" s="113">
        <f t="shared" si="9"/>
        <v>30</v>
      </c>
      <c r="BA19" s="113">
        <f t="shared" si="10"/>
        <v>29</v>
      </c>
      <c r="BB19" s="116">
        <v>65000</v>
      </c>
      <c r="BC19" s="123">
        <f>NovReport[[#This Row],[SALARY]]/NovReport[[#This Row],[PAID DAYS]]</f>
        <v>2241.3793103448274</v>
      </c>
      <c r="BD19" s="119">
        <f>NovReport[[#This Row],[SALARY]]-NovReport[[#This Row],[ DEDUCTION]]</f>
        <v>62758.620689655174</v>
      </c>
      <c r="BE19" s="121"/>
      <c r="BF19" s="14"/>
      <c r="BG19" s="76"/>
      <c r="BH19" s="4"/>
      <c r="BI19" s="4"/>
      <c r="BJ19" s="4"/>
      <c r="BK19" s="4"/>
      <c r="BL19" s="4"/>
      <c r="BM19" s="4"/>
    </row>
    <row r="20" spans="4:65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7"/>
        <v>4</v>
      </c>
      <c r="K20" s="51" t="s">
        <v>39</v>
      </c>
      <c r="L20" s="51" t="s">
        <v>39</v>
      </c>
      <c r="M20" s="51" t="s">
        <v>39</v>
      </c>
      <c r="N20" s="51" t="s">
        <v>39</v>
      </c>
      <c r="O20" s="51" t="str">
        <f t="shared" si="2"/>
        <v>Wo</v>
      </c>
      <c r="P20" s="51" t="s">
        <v>38</v>
      </c>
      <c r="Q20" s="51" t="s">
        <v>38</v>
      </c>
      <c r="R20" s="51" t="s">
        <v>40</v>
      </c>
      <c r="S20" s="51" t="s">
        <v>38</v>
      </c>
      <c r="T20" s="51" t="s">
        <v>38</v>
      </c>
      <c r="U20" s="51" t="s">
        <v>38</v>
      </c>
      <c r="V20" s="51" t="str">
        <f t="shared" si="2"/>
        <v>Wo</v>
      </c>
      <c r="W20" s="51" t="s">
        <v>38</v>
      </c>
      <c r="X20" s="51" t="s">
        <v>38</v>
      </c>
      <c r="Y20" s="51" t="s">
        <v>38</v>
      </c>
      <c r="Z20" s="51" t="s">
        <v>40</v>
      </c>
      <c r="AA20" s="51" t="s">
        <v>38</v>
      </c>
      <c r="AB20" s="51" t="s">
        <v>38</v>
      </c>
      <c r="AC20" s="51" t="str">
        <f t="shared" si="2"/>
        <v>Wo</v>
      </c>
      <c r="AD20" s="65" t="s">
        <v>38</v>
      </c>
      <c r="AE20" s="65" t="s">
        <v>38</v>
      </c>
      <c r="AF20" s="65" t="s">
        <v>40</v>
      </c>
      <c r="AG20" s="65" t="s">
        <v>38</v>
      </c>
      <c r="AH20" s="65" t="s">
        <v>38</v>
      </c>
      <c r="AI20" s="65" t="s">
        <v>38</v>
      </c>
      <c r="AJ20" s="65" t="str">
        <f t="shared" si="2"/>
        <v>Wo</v>
      </c>
      <c r="AK20" s="65" t="s">
        <v>38</v>
      </c>
      <c r="AL20" s="65" t="s">
        <v>38</v>
      </c>
      <c r="AM20" s="65" t="s">
        <v>38</v>
      </c>
      <c r="AN20" s="65" t="s">
        <v>40</v>
      </c>
      <c r="AO20" s="16" t="s">
        <v>38</v>
      </c>
      <c r="AP20" s="77"/>
      <c r="AQ20" s="13"/>
      <c r="AR20" s="7">
        <v>13</v>
      </c>
      <c r="AS20" s="107">
        <v>1013</v>
      </c>
      <c r="AT20" s="107" t="str">
        <f t="shared" si="3"/>
        <v>November</v>
      </c>
      <c r="AU20" s="107" t="s">
        <v>13</v>
      </c>
      <c r="AV20" s="110">
        <f t="shared" si="4"/>
        <v>19</v>
      </c>
      <c r="AW20" s="110">
        <f t="shared" si="5"/>
        <v>4</v>
      </c>
      <c r="AX20" s="110">
        <f t="shared" si="6"/>
        <v>4</v>
      </c>
      <c r="AY20" s="110">
        <f t="shared" si="8"/>
        <v>4</v>
      </c>
      <c r="AZ20" s="113">
        <f t="shared" si="9"/>
        <v>30</v>
      </c>
      <c r="BA20" s="113">
        <f t="shared" si="10"/>
        <v>26</v>
      </c>
      <c r="BB20" s="116">
        <v>68000</v>
      </c>
      <c r="BC20" s="123">
        <f>NovReport[[#This Row],[SALARY]]/NovReport[[#This Row],[PAID DAYS]]</f>
        <v>2615.3846153846152</v>
      </c>
      <c r="BD20" s="119">
        <f>NovReport[[#This Row],[SALARY]]-NovReport[[#This Row],[ DEDUCTION]]</f>
        <v>65384.615384615383</v>
      </c>
      <c r="BE20" s="121"/>
      <c r="BF20" s="14"/>
      <c r="BG20" s="76"/>
      <c r="BH20" s="4"/>
      <c r="BI20" s="4"/>
      <c r="BJ20" s="4"/>
      <c r="BK20" s="4"/>
      <c r="BL20" s="4"/>
      <c r="BM20" s="4"/>
    </row>
    <row r="21" spans="4:65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7"/>
        <v>4</v>
      </c>
      <c r="K21" s="51" t="s">
        <v>38</v>
      </c>
      <c r="L21" s="51" t="s">
        <v>38</v>
      </c>
      <c r="M21" s="51" t="s">
        <v>38</v>
      </c>
      <c r="N21" s="51" t="s">
        <v>38</v>
      </c>
      <c r="O21" s="51" t="str">
        <f t="shared" si="2"/>
        <v>Wo</v>
      </c>
      <c r="P21" s="51" t="s">
        <v>39</v>
      </c>
      <c r="Q21" s="51" t="s">
        <v>38</v>
      </c>
      <c r="R21" s="51" t="s">
        <v>40</v>
      </c>
      <c r="S21" s="51" t="s">
        <v>38</v>
      </c>
      <c r="T21" s="51" t="s">
        <v>38</v>
      </c>
      <c r="U21" s="51" t="s">
        <v>38</v>
      </c>
      <c r="V21" s="51" t="str">
        <f t="shared" si="2"/>
        <v>Wo</v>
      </c>
      <c r="W21" s="51" t="s">
        <v>38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51" t="str">
        <f t="shared" si="2"/>
        <v>Wo</v>
      </c>
      <c r="AD21" s="65" t="s">
        <v>38</v>
      </c>
      <c r="AE21" s="65" t="s">
        <v>38</v>
      </c>
      <c r="AF21" s="65" t="s">
        <v>40</v>
      </c>
      <c r="AG21" s="65" t="s">
        <v>38</v>
      </c>
      <c r="AH21" s="65" t="s">
        <v>38</v>
      </c>
      <c r="AI21" s="65" t="s">
        <v>38</v>
      </c>
      <c r="AJ21" s="65" t="str">
        <f t="shared" si="2"/>
        <v>Wo</v>
      </c>
      <c r="AK21" s="65" t="s">
        <v>38</v>
      </c>
      <c r="AL21" s="65" t="s">
        <v>38</v>
      </c>
      <c r="AM21" s="65" t="s">
        <v>39</v>
      </c>
      <c r="AN21" s="65" t="s">
        <v>40</v>
      </c>
      <c r="AO21" s="16" t="s">
        <v>38</v>
      </c>
      <c r="AP21" s="77"/>
      <c r="AQ21" s="13"/>
      <c r="AR21" s="7">
        <v>14</v>
      </c>
      <c r="AS21" s="107">
        <v>1014</v>
      </c>
      <c r="AT21" s="107" t="str">
        <f t="shared" si="3"/>
        <v>November</v>
      </c>
      <c r="AU21" s="107" t="s">
        <v>14</v>
      </c>
      <c r="AV21" s="110">
        <f t="shared" si="4"/>
        <v>21</v>
      </c>
      <c r="AW21" s="110">
        <f t="shared" si="5"/>
        <v>2</v>
      </c>
      <c r="AX21" s="110">
        <f t="shared" si="6"/>
        <v>4</v>
      </c>
      <c r="AY21" s="110">
        <f t="shared" si="8"/>
        <v>4</v>
      </c>
      <c r="AZ21" s="113">
        <f t="shared" si="9"/>
        <v>30</v>
      </c>
      <c r="BA21" s="113">
        <f t="shared" si="10"/>
        <v>28</v>
      </c>
      <c r="BB21" s="116">
        <v>72000</v>
      </c>
      <c r="BC21" s="123">
        <f>NovReport[[#This Row],[SALARY]]/NovReport[[#This Row],[PAID DAYS]]</f>
        <v>2571.4285714285716</v>
      </c>
      <c r="BD21" s="119">
        <f>NovReport[[#This Row],[SALARY]]-NovReport[[#This Row],[ DEDUCTION]]</f>
        <v>69428.571428571435</v>
      </c>
      <c r="BE21" s="121"/>
      <c r="BF21" s="14"/>
      <c r="BG21" s="76"/>
      <c r="BH21" s="4"/>
      <c r="BI21" s="4"/>
      <c r="BJ21" s="4"/>
      <c r="BK21" s="4"/>
      <c r="BL21" s="4"/>
      <c r="BM21" s="4"/>
    </row>
    <row r="22" spans="4:65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7"/>
        <v>4</v>
      </c>
      <c r="K22" s="51" t="s">
        <v>38</v>
      </c>
      <c r="L22" s="51" t="s">
        <v>38</v>
      </c>
      <c r="M22" s="51" t="s">
        <v>38</v>
      </c>
      <c r="N22" s="51" t="s">
        <v>38</v>
      </c>
      <c r="O22" s="51" t="str">
        <f t="shared" si="2"/>
        <v>Wo</v>
      </c>
      <c r="P22" s="51" t="s">
        <v>38</v>
      </c>
      <c r="Q22" s="51" t="s">
        <v>38</v>
      </c>
      <c r="R22" s="51" t="s">
        <v>40</v>
      </c>
      <c r="S22" s="51" t="s">
        <v>38</v>
      </c>
      <c r="T22" s="51" t="s">
        <v>38</v>
      </c>
      <c r="U22" s="51" t="s">
        <v>38</v>
      </c>
      <c r="V22" s="51" t="str">
        <f t="shared" si="2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51" t="str">
        <f t="shared" si="2"/>
        <v>Wo</v>
      </c>
      <c r="AD22" s="65" t="s">
        <v>38</v>
      </c>
      <c r="AE22" s="65" t="s">
        <v>39</v>
      </c>
      <c r="AF22" s="65" t="s">
        <v>40</v>
      </c>
      <c r="AG22" s="65" t="s">
        <v>38</v>
      </c>
      <c r="AH22" s="65" t="s">
        <v>38</v>
      </c>
      <c r="AI22" s="65" t="s">
        <v>38</v>
      </c>
      <c r="AJ22" s="65" t="str">
        <f t="shared" si="2"/>
        <v>Wo</v>
      </c>
      <c r="AK22" s="65" t="s">
        <v>38</v>
      </c>
      <c r="AL22" s="65" t="s">
        <v>38</v>
      </c>
      <c r="AM22" s="65" t="s">
        <v>38</v>
      </c>
      <c r="AN22" s="65" t="s">
        <v>40</v>
      </c>
      <c r="AO22" s="16" t="s">
        <v>38</v>
      </c>
      <c r="AP22" s="77"/>
      <c r="AQ22" s="13"/>
      <c r="AR22" s="7">
        <v>15</v>
      </c>
      <c r="AS22" s="107">
        <v>1015</v>
      </c>
      <c r="AT22" s="107" t="str">
        <f t="shared" si="3"/>
        <v>November</v>
      </c>
      <c r="AU22" s="107" t="s">
        <v>15</v>
      </c>
      <c r="AV22" s="110">
        <f t="shared" si="4"/>
        <v>22</v>
      </c>
      <c r="AW22" s="110">
        <f t="shared" si="5"/>
        <v>1</v>
      </c>
      <c r="AX22" s="110">
        <f t="shared" si="6"/>
        <v>4</v>
      </c>
      <c r="AY22" s="110">
        <f t="shared" si="8"/>
        <v>4</v>
      </c>
      <c r="AZ22" s="113">
        <f t="shared" si="9"/>
        <v>30</v>
      </c>
      <c r="BA22" s="113">
        <f t="shared" si="10"/>
        <v>29</v>
      </c>
      <c r="BB22" s="116">
        <v>20000</v>
      </c>
      <c r="BC22" s="123">
        <f>NovReport[[#This Row],[SALARY]]/NovReport[[#This Row],[PAID DAYS]]</f>
        <v>689.65517241379314</v>
      </c>
      <c r="BD22" s="119">
        <f>NovReport[[#This Row],[SALARY]]-NovReport[[#This Row],[ DEDUCTION]]</f>
        <v>19310.344827586207</v>
      </c>
      <c r="BE22" s="121"/>
      <c r="BF22" s="14"/>
      <c r="BG22" s="76"/>
      <c r="BH22" s="4"/>
      <c r="BI22" s="4"/>
      <c r="BJ22" s="4"/>
      <c r="BK22" s="4"/>
      <c r="BL22" s="4"/>
      <c r="BM22" s="4"/>
    </row>
    <row r="23" spans="4:65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7"/>
        <v>4</v>
      </c>
      <c r="K23" s="51" t="s">
        <v>38</v>
      </c>
      <c r="L23" s="51" t="s">
        <v>38</v>
      </c>
      <c r="M23" s="51" t="s">
        <v>38</v>
      </c>
      <c r="N23" s="51" t="s">
        <v>38</v>
      </c>
      <c r="O23" s="51" t="str">
        <f t="shared" si="2"/>
        <v>Wo</v>
      </c>
      <c r="P23" s="51" t="s">
        <v>39</v>
      </c>
      <c r="Q23" s="51" t="s">
        <v>38</v>
      </c>
      <c r="R23" s="51" t="s">
        <v>40</v>
      </c>
      <c r="S23" s="51" t="s">
        <v>38</v>
      </c>
      <c r="T23" s="51" t="s">
        <v>38</v>
      </c>
      <c r="U23" s="51" t="s">
        <v>38</v>
      </c>
      <c r="V23" s="51" t="str">
        <f t="shared" si="2"/>
        <v>Wo</v>
      </c>
      <c r="W23" s="51" t="s">
        <v>38</v>
      </c>
      <c r="X23" s="51" t="s">
        <v>38</v>
      </c>
      <c r="Y23" s="51" t="s">
        <v>38</v>
      </c>
      <c r="Z23" s="51" t="s">
        <v>40</v>
      </c>
      <c r="AA23" s="51" t="s">
        <v>38</v>
      </c>
      <c r="AB23" s="51" t="s">
        <v>38</v>
      </c>
      <c r="AC23" s="51" t="str">
        <f t="shared" si="2"/>
        <v>Wo</v>
      </c>
      <c r="AD23" s="65" t="s">
        <v>38</v>
      </c>
      <c r="AE23" s="65" t="s">
        <v>38</v>
      </c>
      <c r="AF23" s="65" t="s">
        <v>40</v>
      </c>
      <c r="AG23" s="65" t="s">
        <v>38</v>
      </c>
      <c r="AH23" s="65" t="s">
        <v>38</v>
      </c>
      <c r="AI23" s="65" t="s">
        <v>38</v>
      </c>
      <c r="AJ23" s="65" t="str">
        <f t="shared" si="2"/>
        <v>Wo</v>
      </c>
      <c r="AK23" s="65" t="s">
        <v>38</v>
      </c>
      <c r="AL23" s="65" t="s">
        <v>38</v>
      </c>
      <c r="AM23" s="65" t="s">
        <v>38</v>
      </c>
      <c r="AN23" s="65" t="s">
        <v>40</v>
      </c>
      <c r="AO23" s="16" t="s">
        <v>38</v>
      </c>
      <c r="AP23" s="77"/>
      <c r="AQ23" s="13"/>
      <c r="AR23" s="7">
        <v>16</v>
      </c>
      <c r="AS23" s="107">
        <v>1016</v>
      </c>
      <c r="AT23" s="107" t="str">
        <f t="shared" si="3"/>
        <v>November</v>
      </c>
      <c r="AU23" s="107" t="s">
        <v>16</v>
      </c>
      <c r="AV23" s="110">
        <f t="shared" si="4"/>
        <v>22</v>
      </c>
      <c r="AW23" s="110">
        <f t="shared" si="5"/>
        <v>1</v>
      </c>
      <c r="AX23" s="110">
        <f t="shared" si="6"/>
        <v>4</v>
      </c>
      <c r="AY23" s="110">
        <f t="shared" si="8"/>
        <v>4</v>
      </c>
      <c r="AZ23" s="113">
        <f t="shared" si="9"/>
        <v>30</v>
      </c>
      <c r="BA23" s="113">
        <f t="shared" si="10"/>
        <v>29</v>
      </c>
      <c r="BB23" s="116">
        <v>56000</v>
      </c>
      <c r="BC23" s="123">
        <f>NovReport[[#This Row],[SALARY]]/NovReport[[#This Row],[PAID DAYS]]</f>
        <v>1931.0344827586207</v>
      </c>
      <c r="BD23" s="119">
        <f>NovReport[[#This Row],[SALARY]]-NovReport[[#This Row],[ DEDUCTION]]</f>
        <v>54068.965517241377</v>
      </c>
      <c r="BE23" s="121"/>
      <c r="BF23" s="14"/>
      <c r="BG23" s="76"/>
      <c r="BH23" s="4"/>
      <c r="BI23" s="4"/>
      <c r="BJ23" s="4"/>
      <c r="BK23" s="4"/>
      <c r="BL23" s="4"/>
      <c r="BM23" s="4"/>
    </row>
    <row r="24" spans="4:65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7"/>
        <v>4</v>
      </c>
      <c r="K24" s="51" t="s">
        <v>38</v>
      </c>
      <c r="L24" s="51" t="s">
        <v>38</v>
      </c>
      <c r="M24" s="51" t="s">
        <v>38</v>
      </c>
      <c r="N24" s="51" t="s">
        <v>38</v>
      </c>
      <c r="O24" s="51" t="str">
        <f t="shared" ref="O24:V27" si="11">IF(O$6="sun","Wo"," ")</f>
        <v>Wo</v>
      </c>
      <c r="P24" s="51" t="s">
        <v>38</v>
      </c>
      <c r="Q24" s="51" t="s">
        <v>38</v>
      </c>
      <c r="R24" s="51" t="s">
        <v>40</v>
      </c>
      <c r="S24" s="51" t="s">
        <v>38</v>
      </c>
      <c r="T24" s="51" t="s">
        <v>38</v>
      </c>
      <c r="U24" s="51" t="s">
        <v>38</v>
      </c>
      <c r="V24" s="51" t="str">
        <f t="shared" si="11"/>
        <v>Wo</v>
      </c>
      <c r="W24" s="51" t="s">
        <v>38</v>
      </c>
      <c r="X24" s="51" t="s">
        <v>38</v>
      </c>
      <c r="Y24" s="51" t="s">
        <v>38</v>
      </c>
      <c r="Z24" s="51" t="s">
        <v>40</v>
      </c>
      <c r="AA24" s="51" t="s">
        <v>38</v>
      </c>
      <c r="AB24" s="51" t="s">
        <v>38</v>
      </c>
      <c r="AC24" s="51" t="str">
        <f t="shared" ref="AC24:AJ27" si="12">IF(AC$6="sun","Wo"," ")</f>
        <v>Wo</v>
      </c>
      <c r="AD24" s="65" t="s">
        <v>38</v>
      </c>
      <c r="AE24" s="65" t="s">
        <v>38</v>
      </c>
      <c r="AF24" s="65" t="s">
        <v>40</v>
      </c>
      <c r="AG24" s="65" t="s">
        <v>38</v>
      </c>
      <c r="AH24" s="65" t="s">
        <v>38</v>
      </c>
      <c r="AI24" s="65" t="s">
        <v>38</v>
      </c>
      <c r="AJ24" s="65" t="str">
        <f t="shared" si="12"/>
        <v>Wo</v>
      </c>
      <c r="AK24" s="65" t="s">
        <v>38</v>
      </c>
      <c r="AL24" s="65" t="s">
        <v>38</v>
      </c>
      <c r="AM24" s="65" t="s">
        <v>38</v>
      </c>
      <c r="AN24" s="65" t="s">
        <v>40</v>
      </c>
      <c r="AO24" s="16" t="s">
        <v>38</v>
      </c>
      <c r="AP24" s="77"/>
      <c r="AQ24" s="13"/>
      <c r="AR24" s="7">
        <v>17</v>
      </c>
      <c r="AS24" s="107">
        <v>1017</v>
      </c>
      <c r="AT24" s="107" t="str">
        <f t="shared" si="3"/>
        <v>November</v>
      </c>
      <c r="AU24" s="107" t="s">
        <v>17</v>
      </c>
      <c r="AV24" s="110">
        <f t="shared" si="4"/>
        <v>23</v>
      </c>
      <c r="AW24" s="110">
        <f t="shared" si="5"/>
        <v>0</v>
      </c>
      <c r="AX24" s="110">
        <f t="shared" si="6"/>
        <v>4</v>
      </c>
      <c r="AY24" s="110">
        <f t="shared" si="8"/>
        <v>4</v>
      </c>
      <c r="AZ24" s="113">
        <f t="shared" si="9"/>
        <v>30</v>
      </c>
      <c r="BA24" s="113">
        <f t="shared" si="10"/>
        <v>30</v>
      </c>
      <c r="BB24" s="116">
        <v>35000</v>
      </c>
      <c r="BC24" s="123">
        <f>NovReport[[#This Row],[SALARY]]/NovReport[[#This Row],[PAID DAYS]]</f>
        <v>1166.6666666666667</v>
      </c>
      <c r="BD24" s="119">
        <f>NovReport[[#This Row],[SALARY]]-NovReport[[#This Row],[ DEDUCTION]]</f>
        <v>33833.333333333336</v>
      </c>
      <c r="BE24" s="121"/>
      <c r="BF24" s="14"/>
      <c r="BG24" s="76"/>
      <c r="BH24" s="4"/>
      <c r="BI24" s="4"/>
      <c r="BJ24" s="4"/>
      <c r="BK24" s="4"/>
      <c r="BL24" s="4"/>
      <c r="BM24" s="4"/>
    </row>
    <row r="25" spans="4:65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7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11"/>
        <v>Wo</v>
      </c>
      <c r="P25" s="51" t="s">
        <v>39</v>
      </c>
      <c r="Q25" s="51" t="s">
        <v>38</v>
      </c>
      <c r="R25" s="51" t="s">
        <v>40</v>
      </c>
      <c r="S25" s="51" t="s">
        <v>38</v>
      </c>
      <c r="T25" s="51" t="s">
        <v>38</v>
      </c>
      <c r="U25" s="51" t="s">
        <v>38</v>
      </c>
      <c r="V25" s="51" t="str">
        <f t="shared" si="11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38</v>
      </c>
      <c r="AB25" s="51" t="s">
        <v>38</v>
      </c>
      <c r="AC25" s="51" t="str">
        <f t="shared" si="12"/>
        <v>Wo</v>
      </c>
      <c r="AD25" s="65" t="s">
        <v>38</v>
      </c>
      <c r="AE25" s="65" t="s">
        <v>38</v>
      </c>
      <c r="AF25" s="65" t="s">
        <v>40</v>
      </c>
      <c r="AG25" s="65" t="s">
        <v>38</v>
      </c>
      <c r="AH25" s="65" t="s">
        <v>38</v>
      </c>
      <c r="AI25" s="65" t="s">
        <v>38</v>
      </c>
      <c r="AJ25" s="65" t="str">
        <f t="shared" si="12"/>
        <v>Wo</v>
      </c>
      <c r="AK25" s="65" t="s">
        <v>38</v>
      </c>
      <c r="AL25" s="65" t="s">
        <v>38</v>
      </c>
      <c r="AM25" s="65" t="s">
        <v>38</v>
      </c>
      <c r="AN25" s="65" t="s">
        <v>40</v>
      </c>
      <c r="AO25" s="16" t="s">
        <v>38</v>
      </c>
      <c r="AP25" s="77"/>
      <c r="AQ25" s="13"/>
      <c r="AR25" s="7">
        <v>18</v>
      </c>
      <c r="AS25" s="107">
        <v>1018</v>
      </c>
      <c r="AT25" s="107" t="str">
        <f t="shared" si="3"/>
        <v>November</v>
      </c>
      <c r="AU25" s="107" t="s">
        <v>18</v>
      </c>
      <c r="AV25" s="110">
        <f t="shared" si="4"/>
        <v>22</v>
      </c>
      <c r="AW25" s="110">
        <f t="shared" si="5"/>
        <v>1</v>
      </c>
      <c r="AX25" s="110">
        <f t="shared" si="6"/>
        <v>4</v>
      </c>
      <c r="AY25" s="110">
        <f t="shared" si="8"/>
        <v>4</v>
      </c>
      <c r="AZ25" s="113">
        <f t="shared" si="9"/>
        <v>30</v>
      </c>
      <c r="BA25" s="113">
        <f t="shared" si="10"/>
        <v>29</v>
      </c>
      <c r="BB25" s="116">
        <v>12000</v>
      </c>
      <c r="BC25" s="123">
        <f>NovReport[[#This Row],[SALARY]]/NovReport[[#This Row],[PAID DAYS]]</f>
        <v>413.79310344827587</v>
      </c>
      <c r="BD25" s="119">
        <f>NovReport[[#This Row],[SALARY]]-NovReport[[#This Row],[ DEDUCTION]]</f>
        <v>11586.206896551725</v>
      </c>
      <c r="BE25" s="121"/>
      <c r="BF25" s="14"/>
      <c r="BG25" s="76"/>
      <c r="BH25" s="4"/>
      <c r="BI25" s="4"/>
      <c r="BJ25" s="4"/>
      <c r="BK25" s="4"/>
      <c r="BL25" s="4"/>
      <c r="BM25" s="4"/>
    </row>
    <row r="26" spans="4:65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7"/>
        <v>4</v>
      </c>
      <c r="K26" s="51" t="s">
        <v>38</v>
      </c>
      <c r="L26" s="51" t="s">
        <v>38</v>
      </c>
      <c r="M26" s="51" t="s">
        <v>38</v>
      </c>
      <c r="N26" s="51" t="s">
        <v>38</v>
      </c>
      <c r="O26" s="51" t="str">
        <f t="shared" si="11"/>
        <v>Wo</v>
      </c>
      <c r="P26" s="51" t="s">
        <v>38</v>
      </c>
      <c r="Q26" s="51" t="s">
        <v>38</v>
      </c>
      <c r="R26" s="51" t="s">
        <v>40</v>
      </c>
      <c r="S26" s="51" t="s">
        <v>38</v>
      </c>
      <c r="T26" s="51" t="s">
        <v>38</v>
      </c>
      <c r="U26" s="51" t="s">
        <v>38</v>
      </c>
      <c r="V26" s="51" t="str">
        <f t="shared" si="11"/>
        <v>Wo</v>
      </c>
      <c r="W26" s="51" t="s">
        <v>38</v>
      </c>
      <c r="X26" s="51" t="s">
        <v>38</v>
      </c>
      <c r="Y26" s="51" t="s">
        <v>38</v>
      </c>
      <c r="Z26" s="51" t="s">
        <v>40</v>
      </c>
      <c r="AA26" s="51" t="s">
        <v>38</v>
      </c>
      <c r="AB26" s="51" t="s">
        <v>38</v>
      </c>
      <c r="AC26" s="51" t="str">
        <f t="shared" si="12"/>
        <v>Wo</v>
      </c>
      <c r="AD26" s="65" t="s">
        <v>38</v>
      </c>
      <c r="AE26" s="65" t="s">
        <v>38</v>
      </c>
      <c r="AF26" s="65" t="s">
        <v>40</v>
      </c>
      <c r="AG26" s="65" t="s">
        <v>38</v>
      </c>
      <c r="AH26" s="65" t="s">
        <v>38</v>
      </c>
      <c r="AI26" s="65" t="s">
        <v>38</v>
      </c>
      <c r="AJ26" s="65" t="str">
        <f t="shared" si="12"/>
        <v>Wo</v>
      </c>
      <c r="AK26" s="65" t="s">
        <v>38</v>
      </c>
      <c r="AL26" s="65" t="s">
        <v>38</v>
      </c>
      <c r="AM26" s="65" t="s">
        <v>38</v>
      </c>
      <c r="AN26" s="65" t="s">
        <v>40</v>
      </c>
      <c r="AO26" s="16" t="s">
        <v>38</v>
      </c>
      <c r="AP26" s="77"/>
      <c r="AQ26" s="13"/>
      <c r="AR26" s="7">
        <v>19</v>
      </c>
      <c r="AS26" s="107">
        <v>1019</v>
      </c>
      <c r="AT26" s="107" t="str">
        <f t="shared" si="3"/>
        <v>November</v>
      </c>
      <c r="AU26" s="107" t="s">
        <v>19</v>
      </c>
      <c r="AV26" s="110">
        <f t="shared" si="4"/>
        <v>23</v>
      </c>
      <c r="AW26" s="110">
        <f t="shared" si="5"/>
        <v>0</v>
      </c>
      <c r="AX26" s="110">
        <f t="shared" si="6"/>
        <v>4</v>
      </c>
      <c r="AY26" s="110">
        <f t="shared" si="8"/>
        <v>4</v>
      </c>
      <c r="AZ26" s="113">
        <f t="shared" si="9"/>
        <v>30</v>
      </c>
      <c r="BA26" s="113">
        <f t="shared" si="10"/>
        <v>30</v>
      </c>
      <c r="BB26" s="116">
        <v>19000</v>
      </c>
      <c r="BC26" s="123">
        <f>NovReport[[#This Row],[SALARY]]/NovReport[[#This Row],[PAID DAYS]]</f>
        <v>633.33333333333337</v>
      </c>
      <c r="BD26" s="119">
        <f>NovReport[[#This Row],[SALARY]]-NovReport[[#This Row],[ DEDUCTION]]</f>
        <v>18366.666666666668</v>
      </c>
      <c r="BE26" s="121"/>
      <c r="BF26" s="14"/>
      <c r="BG26" s="76"/>
      <c r="BH26" s="4"/>
      <c r="BI26" s="4"/>
      <c r="BJ26" s="4"/>
      <c r="BK26" s="4"/>
      <c r="BL26" s="4"/>
      <c r="BM26" s="4"/>
    </row>
    <row r="27" spans="4:65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7"/>
        <v>4</v>
      </c>
      <c r="K27" s="9" t="s">
        <v>38</v>
      </c>
      <c r="L27" s="9" t="s">
        <v>38</v>
      </c>
      <c r="M27" s="9" t="s">
        <v>38</v>
      </c>
      <c r="N27" s="9" t="s">
        <v>38</v>
      </c>
      <c r="O27" s="9" t="str">
        <f t="shared" si="11"/>
        <v>Wo</v>
      </c>
      <c r="P27" s="9" t="s">
        <v>39</v>
      </c>
      <c r="Q27" s="9" t="s">
        <v>38</v>
      </c>
      <c r="R27" s="9" t="s">
        <v>40</v>
      </c>
      <c r="S27" s="9" t="s">
        <v>38</v>
      </c>
      <c r="T27" s="9" t="s">
        <v>38</v>
      </c>
      <c r="U27" s="9" t="s">
        <v>38</v>
      </c>
      <c r="V27" s="9" t="str">
        <f t="shared" si="11"/>
        <v>Wo</v>
      </c>
      <c r="W27" s="9" t="s">
        <v>38</v>
      </c>
      <c r="X27" s="9" t="s">
        <v>38</v>
      </c>
      <c r="Y27" s="9" t="s">
        <v>38</v>
      </c>
      <c r="Z27" s="9" t="s">
        <v>40</v>
      </c>
      <c r="AA27" s="9" t="s">
        <v>38</v>
      </c>
      <c r="AB27" s="9" t="s">
        <v>38</v>
      </c>
      <c r="AC27" s="9" t="str">
        <f t="shared" si="12"/>
        <v>Wo</v>
      </c>
      <c r="AD27" s="17" t="s">
        <v>38</v>
      </c>
      <c r="AE27" s="17" t="s">
        <v>38</v>
      </c>
      <c r="AF27" s="17" t="s">
        <v>40</v>
      </c>
      <c r="AG27" s="17" t="s">
        <v>38</v>
      </c>
      <c r="AH27" s="17" t="s">
        <v>38</v>
      </c>
      <c r="AI27" s="17" t="s">
        <v>38</v>
      </c>
      <c r="AJ27" s="17" t="str">
        <f t="shared" si="12"/>
        <v>Wo</v>
      </c>
      <c r="AK27" s="17" t="s">
        <v>38</v>
      </c>
      <c r="AL27" s="17" t="s">
        <v>38</v>
      </c>
      <c r="AM27" s="17" t="s">
        <v>38</v>
      </c>
      <c r="AN27" s="17" t="s">
        <v>40</v>
      </c>
      <c r="AO27" s="24" t="s">
        <v>38</v>
      </c>
      <c r="AP27" s="77"/>
      <c r="AQ27" s="13"/>
      <c r="AR27" s="7">
        <v>20</v>
      </c>
      <c r="AS27" s="107">
        <v>1020</v>
      </c>
      <c r="AT27" s="107" t="str">
        <f t="shared" si="3"/>
        <v>November</v>
      </c>
      <c r="AU27" s="107" t="s">
        <v>20</v>
      </c>
      <c r="AV27" s="110">
        <f t="shared" si="4"/>
        <v>22</v>
      </c>
      <c r="AW27" s="110">
        <f t="shared" si="5"/>
        <v>1</v>
      </c>
      <c r="AX27" s="110">
        <f t="shared" si="6"/>
        <v>4</v>
      </c>
      <c r="AY27" s="110">
        <f t="shared" si="8"/>
        <v>4</v>
      </c>
      <c r="AZ27" s="113">
        <f t="shared" si="9"/>
        <v>30</v>
      </c>
      <c r="BA27" s="113">
        <f t="shared" si="10"/>
        <v>29</v>
      </c>
      <c r="BB27" s="116">
        <v>21000</v>
      </c>
      <c r="BC27" s="123">
        <f>NovReport[[#This Row],[SALARY]]/NovReport[[#This Row],[PAID DAYS]]</f>
        <v>724.13793103448279</v>
      </c>
      <c r="BD27" s="119">
        <f>NovReport[[#This Row],[SALARY]]-NovReport[[#This Row],[ DEDUCTION]]</f>
        <v>20275.862068965518</v>
      </c>
      <c r="BE27" s="121"/>
      <c r="BF27" s="14"/>
      <c r="BG27" s="76"/>
      <c r="BH27" s="4"/>
      <c r="BI27" s="4"/>
      <c r="BJ27" s="4"/>
      <c r="BK27" s="4"/>
      <c r="BL27" s="4"/>
      <c r="BM27" s="4"/>
    </row>
    <row r="28" spans="4:65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75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76"/>
      <c r="BH28" s="4"/>
      <c r="BI28" s="4"/>
      <c r="BJ28" s="4"/>
      <c r="BK28" s="4"/>
      <c r="BL28" s="4"/>
      <c r="BM28" s="4"/>
    </row>
    <row r="29" spans="4:65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75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76"/>
      <c r="BH29" s="4"/>
      <c r="BI29" s="4"/>
      <c r="BJ29" s="4"/>
      <c r="BK29" s="4"/>
      <c r="BL29" s="4"/>
      <c r="BM29" s="4"/>
    </row>
    <row r="30" spans="4:65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75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76"/>
      <c r="BH30" s="4"/>
      <c r="BI30" s="4"/>
      <c r="BJ30" s="4"/>
      <c r="BK30" s="4"/>
      <c r="BL30" s="4"/>
      <c r="BM30" s="4"/>
    </row>
    <row r="31" spans="4:65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75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76"/>
      <c r="BH31" s="4"/>
      <c r="BI31" s="4"/>
      <c r="BJ31" s="4"/>
      <c r="BK31" s="4"/>
      <c r="BL31" s="4"/>
      <c r="BM31" s="4"/>
    </row>
    <row r="32" spans="4:65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75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76"/>
      <c r="BH32" s="4"/>
      <c r="BI32" s="4"/>
      <c r="BJ32" s="4"/>
      <c r="BK32" s="4"/>
      <c r="BL32" s="4"/>
      <c r="BM32" s="4"/>
    </row>
    <row r="33" spans="1:65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75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76"/>
      <c r="BH33" s="4"/>
      <c r="BI33" s="4"/>
      <c r="BJ33" s="4"/>
      <c r="BK33" s="4"/>
      <c r="BL33" s="4"/>
      <c r="BM33" s="4"/>
    </row>
    <row r="34" spans="1:65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75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76"/>
      <c r="BH34" s="4"/>
      <c r="BI34" s="4"/>
      <c r="BJ34" s="4"/>
      <c r="BK34" s="4"/>
      <c r="BL34" s="4"/>
      <c r="BM34" s="4"/>
    </row>
    <row r="35" spans="1:65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75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76"/>
      <c r="BH35" s="4"/>
      <c r="BI35" s="4"/>
      <c r="BJ35" s="4"/>
      <c r="BK35" s="4"/>
      <c r="BL35" s="4"/>
      <c r="BM35" s="4"/>
    </row>
    <row r="36" spans="1:65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0"/>
      <c r="BF36" s="80"/>
      <c r="BG36" s="81"/>
      <c r="BH36" s="4"/>
      <c r="BI36" s="4"/>
      <c r="BJ36" s="4"/>
      <c r="BK36" s="4"/>
      <c r="BL36" s="4"/>
      <c r="BM36" s="4"/>
    </row>
    <row r="37" spans="1:65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</row>
    <row r="38" spans="1:65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</row>
    <row r="39" spans="1:65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</row>
    <row r="40" spans="1:65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</row>
    <row r="41" spans="1:65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</row>
    <row r="42" spans="1:65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</row>
    <row r="43" spans="1:65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</row>
    <row r="44" spans="1:65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</row>
    <row r="45" spans="1:65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</row>
    <row r="46" spans="1:65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</row>
    <row r="47" spans="1:65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</row>
    <row r="48" spans="1:65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</row>
    <row r="49" spans="42:65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</row>
    <row r="50" spans="42:65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</row>
    <row r="51" spans="42:65" ht="30" customHeight="1">
      <c r="AP51" s="4"/>
      <c r="AQ51" s="5"/>
    </row>
    <row r="52" spans="42:65" ht="30" customHeight="1">
      <c r="AP52" s="4"/>
      <c r="AQ52" s="5"/>
    </row>
    <row r="53" spans="42:65" ht="30" customHeight="1">
      <c r="AP53" s="4"/>
      <c r="AQ53" s="5"/>
    </row>
    <row r="54" spans="42:65" ht="30" customHeight="1">
      <c r="AP54" s="4"/>
      <c r="AQ54" s="5"/>
    </row>
    <row r="55" spans="42:65" ht="30" customHeight="1">
      <c r="AP55" s="4"/>
      <c r="AQ55" s="5"/>
    </row>
    <row r="56" spans="42:65" ht="30" customHeight="1">
      <c r="AP56" s="4"/>
      <c r="AQ56" s="5"/>
    </row>
    <row r="57" spans="42:65" ht="30" customHeight="1">
      <c r="AP57" s="4"/>
      <c r="AQ57" s="5"/>
    </row>
    <row r="58" spans="42:65" ht="30" customHeight="1">
      <c r="AP58" s="4"/>
      <c r="AQ58" s="5"/>
    </row>
    <row r="59" spans="42:65" ht="30" customHeight="1">
      <c r="AP59" s="4"/>
      <c r="AQ59" s="5"/>
    </row>
    <row r="60" spans="42:65" ht="30" customHeight="1">
      <c r="AP60" s="4"/>
      <c r="AQ60" s="5"/>
    </row>
    <row r="61" spans="42:65" ht="30" customHeight="1">
      <c r="AP61" s="4"/>
      <c r="AQ61" s="5"/>
    </row>
    <row r="62" spans="42:65" ht="30" customHeight="1"/>
    <row r="63" spans="42:65" ht="30" customHeight="1"/>
    <row r="64" spans="42:65" ht="30" customHeight="1"/>
    <row r="65" ht="30" customHeight="1"/>
  </sheetData>
  <mergeCells count="1">
    <mergeCell ref="G6:I6"/>
  </mergeCells>
  <conditionalFormatting sqref="J6:AO27">
    <cfRule type="containsText" dxfId="10" priority="7" operator="containsText" text="WO">
      <formula>NOT(ISERROR(SEARCH("WO",J6)))</formula>
    </cfRule>
  </conditionalFormatting>
  <conditionalFormatting sqref="K8:AO27">
    <cfRule type="containsText" dxfId="9" priority="1" operator="containsText" text="L">
      <formula>NOT(ISERROR(SEARCH("L",K8)))</formula>
    </cfRule>
    <cfRule type="containsText" dxfId="8" priority="2" operator="containsText" text="A">
      <formula>NOT(ISERROR(SEARCH("A",K8)))</formula>
    </cfRule>
    <cfRule type="containsText" dxfId="7" priority="3" operator="containsText" text="P">
      <formula>NOT(ISERROR(SEARCH("P",K8)))</formula>
    </cfRule>
    <cfRule type="containsText" dxfId="6" priority="4" operator="containsText" text="L">
      <formula>NOT(ISERROR(SEARCH("L",K8)))</formula>
    </cfRule>
    <cfRule type="containsText" dxfId="5" priority="5" operator="containsText" text="A">
      <formula>NOT(ISERROR(SEARCH("A",K8)))</formula>
    </cfRule>
    <cfRule type="containsText" dxfId="4" priority="6" operator="containsText" text="P">
      <formula>NOT(ISERROR(SEARCH("P",K8)))</formula>
    </cfRule>
  </conditionalFormatting>
  <dataValidations count="1">
    <dataValidation type="list" allowBlank="1" showInputMessage="1" showErrorMessage="1" sqref="W8:AB27 AD8:AI27 K8:N27 P8:U27 AK8:AO27" xr:uid="{F831908C-38C7-4C8D-81FD-6C673302E708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356312-B0F9-4D8B-84D9-7193BCEFDBB0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5408E7A-35F2-4D99-A1A0-EE627D84A3BB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NOVEMBER!AV8:AY8</xm:f>
              <xm:sqref>BE8</xm:sqref>
            </x14:sparkline>
            <x14:sparkline>
              <xm:f>NOVEMBER!AV9:AY9</xm:f>
              <xm:sqref>BE9</xm:sqref>
            </x14:sparkline>
            <x14:sparkline>
              <xm:f>NOVEMBER!AV10:AY10</xm:f>
              <xm:sqref>BE10</xm:sqref>
            </x14:sparkline>
            <x14:sparkline>
              <xm:f>NOVEMBER!AV11:AY11</xm:f>
              <xm:sqref>BE11</xm:sqref>
            </x14:sparkline>
            <x14:sparkline>
              <xm:f>NOVEMBER!AV12:AY12</xm:f>
              <xm:sqref>BE12</xm:sqref>
            </x14:sparkline>
            <x14:sparkline>
              <xm:f>NOVEMBER!AV13:AY13</xm:f>
              <xm:sqref>BE13</xm:sqref>
            </x14:sparkline>
            <x14:sparkline>
              <xm:f>NOVEMBER!AV14:AY14</xm:f>
              <xm:sqref>BE14</xm:sqref>
            </x14:sparkline>
            <x14:sparkline>
              <xm:f>NOVEMBER!AV15:AY15</xm:f>
              <xm:sqref>BE15</xm:sqref>
            </x14:sparkline>
            <x14:sparkline>
              <xm:f>NOVEMBER!AV16:AY16</xm:f>
              <xm:sqref>BE16</xm:sqref>
            </x14:sparkline>
            <x14:sparkline>
              <xm:f>NOVEMBER!AV17:AY17</xm:f>
              <xm:sqref>BE17</xm:sqref>
            </x14:sparkline>
            <x14:sparkline>
              <xm:f>NOVEMBER!AV18:AY18</xm:f>
              <xm:sqref>BE18</xm:sqref>
            </x14:sparkline>
            <x14:sparkline>
              <xm:f>NOVEMBER!AV19:AY19</xm:f>
              <xm:sqref>BE19</xm:sqref>
            </x14:sparkline>
            <x14:sparkline>
              <xm:f>NOVEMBER!AV20:AY20</xm:f>
              <xm:sqref>BE20</xm:sqref>
            </x14:sparkline>
            <x14:sparkline>
              <xm:f>NOVEMBER!AV21:AY21</xm:f>
              <xm:sqref>BE21</xm:sqref>
            </x14:sparkline>
            <x14:sparkline>
              <xm:f>NOVEMBER!AV22:AY22</xm:f>
              <xm:sqref>BE22</xm:sqref>
            </x14:sparkline>
            <x14:sparkline>
              <xm:f>NOVEMBER!AV23:AY23</xm:f>
              <xm:sqref>BE23</xm:sqref>
            </x14:sparkline>
            <x14:sparkline>
              <xm:f>NOVEMBER!AV24:AY24</xm:f>
              <xm:sqref>BE24</xm:sqref>
            </x14:sparkline>
            <x14:sparkline>
              <xm:f>NOVEMBER!AV25:AY25</xm:f>
              <xm:sqref>BE25</xm:sqref>
            </x14:sparkline>
            <x14:sparkline>
              <xm:f>NOVEMBER!AV26:AY26</xm:f>
              <xm:sqref>BE26</xm:sqref>
            </x14:sparkline>
            <x14:sparkline>
              <xm:f>NOVEMBER!AV27:AY27</xm:f>
              <xm:sqref>BE27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4C91-AC29-4B68-BF67-F3A2671BA1E1}">
  <dimension ref="A1:BM65"/>
  <sheetViews>
    <sheetView view="pageBreakPreview" zoomScale="50" zoomScaleNormal="100" zoomScaleSheetLayoutView="50" workbookViewId="0">
      <selection activeCell="AL15" sqref="AL15"/>
    </sheetView>
  </sheetViews>
  <sheetFormatPr defaultRowHeight="14.25"/>
  <cols>
    <col min="1" max="6" width="9.140625" style="2"/>
    <col min="7" max="7" width="14.140625" style="2" customWidth="1"/>
    <col min="8" max="8" width="15.28515625" style="2" customWidth="1"/>
    <col min="9" max="9" width="25.5703125" style="2" customWidth="1"/>
    <col min="10" max="14" width="12" style="2" customWidth="1"/>
    <col min="15" max="15" width="21.42578125" style="2" customWidth="1"/>
    <col min="16" max="21" width="12" style="2" customWidth="1"/>
    <col min="22" max="22" width="20.7109375" style="2" customWidth="1"/>
    <col min="23" max="25" width="12" style="2" customWidth="1"/>
    <col min="26" max="28" width="9.140625" style="2"/>
    <col min="29" max="29" width="20.7109375" style="2" customWidth="1"/>
    <col min="30" max="35" width="12.28515625" style="2" customWidth="1"/>
    <col min="36" max="36" width="20.7109375" style="2" customWidth="1"/>
    <col min="37" max="41" width="12.28515625" style="2" customWidth="1"/>
    <col min="42" max="42" width="9.140625" style="2"/>
    <col min="43" max="43" width="9.140625" style="3"/>
    <col min="44" max="44" width="14" style="3" customWidth="1"/>
    <col min="45" max="46" width="22" style="3" customWidth="1"/>
    <col min="47" max="47" width="39.7109375" style="3" customWidth="1"/>
    <col min="48" max="50" width="15.140625" style="3" customWidth="1"/>
    <col min="51" max="51" width="16" style="3" customWidth="1"/>
    <col min="52" max="53" width="16.85546875" style="3" customWidth="1"/>
    <col min="54" max="54" width="24.5703125" style="3" customWidth="1"/>
    <col min="55" max="55" width="17.7109375" style="3" customWidth="1"/>
    <col min="56" max="56" width="27.42578125" style="3" customWidth="1"/>
    <col min="57" max="57" width="30" style="2" customWidth="1"/>
    <col min="58" max="16384" width="9.140625" style="2"/>
  </cols>
  <sheetData>
    <row r="1" spans="4:65" ht="30" customHeight="1">
      <c r="AP1" s="14"/>
      <c r="AQ1" s="13"/>
      <c r="BF1" s="14"/>
      <c r="BG1" s="14"/>
      <c r="BH1" s="4"/>
      <c r="BI1" s="4"/>
      <c r="BJ1" s="4"/>
      <c r="BK1" s="4"/>
      <c r="BL1" s="4"/>
      <c r="BM1" s="4"/>
    </row>
    <row r="2" spans="4:65" ht="30" customHeight="1" thickBot="1">
      <c r="AP2" s="14"/>
      <c r="AQ2" s="13"/>
      <c r="BF2" s="14"/>
      <c r="BG2" s="14"/>
      <c r="BH2" s="4"/>
      <c r="BI2" s="4"/>
      <c r="BJ2" s="4"/>
      <c r="BK2" s="4"/>
      <c r="BL2" s="4"/>
      <c r="BM2" s="4"/>
    </row>
    <row r="3" spans="4:65" ht="30" customHeight="1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4"/>
      <c r="AP3" s="14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14"/>
      <c r="BG3" s="14"/>
      <c r="BH3" s="4"/>
      <c r="BI3" s="4"/>
      <c r="BJ3" s="4"/>
      <c r="BK3" s="4"/>
      <c r="BL3" s="4"/>
      <c r="BM3" s="4"/>
    </row>
    <row r="4" spans="4:65" ht="30" customHeight="1">
      <c r="D4" s="55"/>
      <c r="E4" s="56"/>
      <c r="F4" s="56"/>
      <c r="G4" s="57" t="s">
        <v>24</v>
      </c>
      <c r="H4" s="58"/>
      <c r="I4" s="59">
        <v>45992</v>
      </c>
      <c r="J4" s="60"/>
      <c r="K4" s="12">
        <f>(DATEDIF(I4,O4,"D"))+1</f>
        <v>31</v>
      </c>
      <c r="L4" s="50" t="str">
        <f>TEXT(I4,"MMMM")</f>
        <v>December</v>
      </c>
      <c r="M4" s="12" t="s">
        <v>28</v>
      </c>
      <c r="N4" s="61"/>
      <c r="O4" s="59">
        <f>EOMONTH(I4,0)</f>
        <v>46022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62"/>
      <c r="AP4" s="14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/>
      <c r="BF4" s="14"/>
      <c r="BG4" s="14"/>
      <c r="BH4" s="4"/>
      <c r="BI4" s="4"/>
      <c r="BJ4" s="4"/>
      <c r="BK4" s="4"/>
      <c r="BL4" s="4"/>
      <c r="BM4" s="4"/>
    </row>
    <row r="5" spans="4:65" ht="30" customHeight="1" thickBot="1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62"/>
      <c r="AP5" s="14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4"/>
      <c r="BF5" s="14"/>
      <c r="BG5" s="14"/>
      <c r="BH5" s="4"/>
      <c r="BI5" s="4"/>
      <c r="BJ5" s="4"/>
      <c r="BK5" s="4"/>
      <c r="BL5" s="4"/>
      <c r="BM5" s="4"/>
    </row>
    <row r="6" spans="4:65" ht="48" customHeight="1">
      <c r="D6" s="55"/>
      <c r="E6" s="56"/>
      <c r="F6" s="56"/>
      <c r="G6" s="147" t="s">
        <v>27</v>
      </c>
      <c r="H6" s="148"/>
      <c r="I6" s="149"/>
      <c r="J6" s="18" t="s">
        <v>25</v>
      </c>
      <c r="K6" s="19" t="str">
        <f>TEXT(K7,"DDD")</f>
        <v>Wed</v>
      </c>
      <c r="L6" s="19" t="str">
        <f t="shared" ref="L6:AO6" si="0">TEXT(L7,"DDD")</f>
        <v>Thu</v>
      </c>
      <c r="M6" s="19" t="str">
        <f t="shared" si="0"/>
        <v>Fri</v>
      </c>
      <c r="N6" s="19" t="str">
        <f t="shared" si="0"/>
        <v>Sat</v>
      </c>
      <c r="O6" s="19" t="str">
        <f t="shared" si="0"/>
        <v>Sun</v>
      </c>
      <c r="P6" s="19" t="str">
        <f t="shared" si="0"/>
        <v>Mon</v>
      </c>
      <c r="Q6" s="19" t="str">
        <f t="shared" si="0"/>
        <v>Tue</v>
      </c>
      <c r="R6" s="19" t="str">
        <f t="shared" si="0"/>
        <v>Wed</v>
      </c>
      <c r="S6" s="19" t="str">
        <f t="shared" si="0"/>
        <v>Thu</v>
      </c>
      <c r="T6" s="19" t="str">
        <f t="shared" si="0"/>
        <v>Fri</v>
      </c>
      <c r="U6" s="19" t="str">
        <f t="shared" si="0"/>
        <v>Sat</v>
      </c>
      <c r="V6" s="19" t="str">
        <f t="shared" si="0"/>
        <v>Sun</v>
      </c>
      <c r="W6" s="19" t="str">
        <f t="shared" si="0"/>
        <v>Mon</v>
      </c>
      <c r="X6" s="19" t="str">
        <f t="shared" si="0"/>
        <v>Tue</v>
      </c>
      <c r="Y6" s="19" t="str">
        <f t="shared" si="0"/>
        <v>Wed</v>
      </c>
      <c r="Z6" s="19" t="str">
        <f t="shared" si="0"/>
        <v>Thu</v>
      </c>
      <c r="AA6" s="19" t="str">
        <f t="shared" si="0"/>
        <v>Fri</v>
      </c>
      <c r="AB6" s="19" t="str">
        <f t="shared" si="0"/>
        <v>Sat</v>
      </c>
      <c r="AC6" s="19" t="str">
        <f t="shared" si="0"/>
        <v>Sun</v>
      </c>
      <c r="AD6" s="19" t="str">
        <f t="shared" si="0"/>
        <v>Mon</v>
      </c>
      <c r="AE6" s="19" t="str">
        <f t="shared" si="0"/>
        <v>Tue</v>
      </c>
      <c r="AF6" s="19" t="str">
        <f t="shared" si="0"/>
        <v>Wed</v>
      </c>
      <c r="AG6" s="19" t="str">
        <f t="shared" si="0"/>
        <v>Thu</v>
      </c>
      <c r="AH6" s="19" t="str">
        <f t="shared" si="0"/>
        <v>Fri</v>
      </c>
      <c r="AI6" s="19" t="str">
        <f t="shared" si="0"/>
        <v>Sat</v>
      </c>
      <c r="AJ6" s="19" t="str">
        <f t="shared" si="0"/>
        <v>Sun</v>
      </c>
      <c r="AK6" s="19" t="str">
        <f t="shared" si="0"/>
        <v>Mon</v>
      </c>
      <c r="AL6" s="19" t="str">
        <f t="shared" si="0"/>
        <v>Tue</v>
      </c>
      <c r="AM6" s="19" t="str">
        <f t="shared" si="0"/>
        <v>Wed</v>
      </c>
      <c r="AN6" s="19" t="str">
        <f t="shared" si="0"/>
        <v>Thu</v>
      </c>
      <c r="AO6" s="20" t="str">
        <f t="shared" si="0"/>
        <v>Fri</v>
      </c>
      <c r="AP6" s="14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  <c r="BF6" s="14"/>
      <c r="BG6" s="14"/>
      <c r="BH6" s="4"/>
      <c r="BI6" s="4"/>
      <c r="BJ6" s="4"/>
      <c r="BK6" s="4"/>
      <c r="BL6" s="4"/>
      <c r="BM6" s="4"/>
    </row>
    <row r="7" spans="4:65" ht="48" customHeight="1" thickBot="1">
      <c r="D7" s="55"/>
      <c r="E7" s="56"/>
      <c r="F7" s="56"/>
      <c r="G7" s="21" t="s">
        <v>26</v>
      </c>
      <c r="H7" s="63" t="s">
        <v>21</v>
      </c>
      <c r="I7" s="22" t="s">
        <v>22</v>
      </c>
      <c r="J7" s="21" t="s">
        <v>23</v>
      </c>
      <c r="K7" s="64">
        <v>45658</v>
      </c>
      <c r="L7" s="64">
        <f t="shared" ref="L7:AO7" si="1">IF(K7&lt;$O$4,K7+1,"")</f>
        <v>45659</v>
      </c>
      <c r="M7" s="64">
        <f t="shared" si="1"/>
        <v>45660</v>
      </c>
      <c r="N7" s="64">
        <f t="shared" si="1"/>
        <v>45661</v>
      </c>
      <c r="O7" s="64">
        <f t="shared" si="1"/>
        <v>45662</v>
      </c>
      <c r="P7" s="64">
        <f t="shared" si="1"/>
        <v>45663</v>
      </c>
      <c r="Q7" s="64">
        <f t="shared" si="1"/>
        <v>45664</v>
      </c>
      <c r="R7" s="64">
        <f t="shared" si="1"/>
        <v>45665</v>
      </c>
      <c r="S7" s="64">
        <f t="shared" si="1"/>
        <v>45666</v>
      </c>
      <c r="T7" s="64">
        <f t="shared" si="1"/>
        <v>45667</v>
      </c>
      <c r="U7" s="64">
        <f t="shared" si="1"/>
        <v>45668</v>
      </c>
      <c r="V7" s="64">
        <f t="shared" si="1"/>
        <v>45669</v>
      </c>
      <c r="W7" s="64">
        <f t="shared" si="1"/>
        <v>45670</v>
      </c>
      <c r="X7" s="64">
        <f t="shared" si="1"/>
        <v>45671</v>
      </c>
      <c r="Y7" s="64">
        <f t="shared" si="1"/>
        <v>45672</v>
      </c>
      <c r="Z7" s="64">
        <f t="shared" si="1"/>
        <v>45673</v>
      </c>
      <c r="AA7" s="64">
        <f t="shared" si="1"/>
        <v>45674</v>
      </c>
      <c r="AB7" s="64">
        <f t="shared" si="1"/>
        <v>45675</v>
      </c>
      <c r="AC7" s="64">
        <f t="shared" si="1"/>
        <v>45676</v>
      </c>
      <c r="AD7" s="64">
        <f t="shared" si="1"/>
        <v>45677</v>
      </c>
      <c r="AE7" s="64">
        <f t="shared" si="1"/>
        <v>45678</v>
      </c>
      <c r="AF7" s="64">
        <f t="shared" si="1"/>
        <v>45679</v>
      </c>
      <c r="AG7" s="64">
        <f t="shared" si="1"/>
        <v>45680</v>
      </c>
      <c r="AH7" s="64">
        <f t="shared" si="1"/>
        <v>45681</v>
      </c>
      <c r="AI7" s="64">
        <f t="shared" si="1"/>
        <v>45682</v>
      </c>
      <c r="AJ7" s="64">
        <f t="shared" si="1"/>
        <v>45683</v>
      </c>
      <c r="AK7" s="64">
        <f t="shared" si="1"/>
        <v>45684</v>
      </c>
      <c r="AL7" s="64">
        <f t="shared" si="1"/>
        <v>45685</v>
      </c>
      <c r="AM7" s="64">
        <f t="shared" si="1"/>
        <v>45686</v>
      </c>
      <c r="AN7" s="64">
        <f t="shared" si="1"/>
        <v>45687</v>
      </c>
      <c r="AO7" s="23">
        <f t="shared" si="1"/>
        <v>45688</v>
      </c>
      <c r="AP7" s="15"/>
      <c r="AQ7" s="13"/>
      <c r="AR7" s="138" t="s">
        <v>26</v>
      </c>
      <c r="AS7" s="138" t="s">
        <v>36</v>
      </c>
      <c r="AT7" s="138" t="s">
        <v>43</v>
      </c>
      <c r="AU7" s="138" t="s">
        <v>29</v>
      </c>
      <c r="AV7" s="139" t="s">
        <v>30</v>
      </c>
      <c r="AW7" s="139" t="s">
        <v>31</v>
      </c>
      <c r="AX7" s="139" t="s">
        <v>32</v>
      </c>
      <c r="AY7" s="138" t="s">
        <v>33</v>
      </c>
      <c r="AZ7" s="138" t="s">
        <v>25</v>
      </c>
      <c r="BA7" s="138" t="s">
        <v>34</v>
      </c>
      <c r="BB7" s="138" t="s">
        <v>35</v>
      </c>
      <c r="BC7" s="138" t="s">
        <v>42</v>
      </c>
      <c r="BD7" s="139" t="s">
        <v>41</v>
      </c>
      <c r="BE7" s="138" t="s">
        <v>37</v>
      </c>
      <c r="BF7" s="14"/>
      <c r="BG7" s="14"/>
      <c r="BH7" s="4"/>
      <c r="BI7" s="4"/>
      <c r="BJ7" s="4"/>
      <c r="BK7" s="4"/>
      <c r="BL7" s="4"/>
      <c r="BM7" s="4"/>
    </row>
    <row r="8" spans="4:65" ht="30" customHeight="1">
      <c r="D8" s="55"/>
      <c r="E8" s="56"/>
      <c r="F8" s="56"/>
      <c r="G8" s="6">
        <v>1</v>
      </c>
      <c r="H8" s="51">
        <v>1001</v>
      </c>
      <c r="I8" s="7" t="s">
        <v>1</v>
      </c>
      <c r="J8" s="6">
        <f>COUNTIF($K$6:$AO$6,"sun")</f>
        <v>4</v>
      </c>
      <c r="K8" s="51" t="s">
        <v>39</v>
      </c>
      <c r="L8" s="51" t="s">
        <v>39</v>
      </c>
      <c r="M8" s="51" t="s">
        <v>38</v>
      </c>
      <c r="N8" s="51" t="s">
        <v>38</v>
      </c>
      <c r="O8" s="51" t="str">
        <f t="shared" ref="O8:AJ23" si="2">IF(O$6="sun","Wo"," ")</f>
        <v>Wo</v>
      </c>
      <c r="P8" s="51" t="s">
        <v>39</v>
      </c>
      <c r="Q8" s="51" t="s">
        <v>39</v>
      </c>
      <c r="R8" s="51" t="s">
        <v>40</v>
      </c>
      <c r="S8" s="51" t="s">
        <v>38</v>
      </c>
      <c r="T8" s="51" t="s">
        <v>38</v>
      </c>
      <c r="U8" s="51" t="s">
        <v>38</v>
      </c>
      <c r="V8" s="51" t="str">
        <f t="shared" si="2"/>
        <v>Wo</v>
      </c>
      <c r="W8" s="51" t="s">
        <v>38</v>
      </c>
      <c r="X8" s="51" t="s">
        <v>38</v>
      </c>
      <c r="Y8" s="51" t="s">
        <v>38</v>
      </c>
      <c r="Z8" s="51" t="s">
        <v>40</v>
      </c>
      <c r="AA8" s="51" t="s">
        <v>38</v>
      </c>
      <c r="AB8" s="51" t="s">
        <v>38</v>
      </c>
      <c r="AC8" s="51" t="str">
        <f t="shared" si="2"/>
        <v>Wo</v>
      </c>
      <c r="AD8" s="65" t="s">
        <v>38</v>
      </c>
      <c r="AE8" s="65" t="s">
        <v>38</v>
      </c>
      <c r="AF8" s="65" t="s">
        <v>40</v>
      </c>
      <c r="AG8" s="65" t="s">
        <v>38</v>
      </c>
      <c r="AH8" s="65" t="s">
        <v>38</v>
      </c>
      <c r="AI8" s="65" t="s">
        <v>38</v>
      </c>
      <c r="AJ8" s="65" t="str">
        <f t="shared" si="2"/>
        <v>Wo</v>
      </c>
      <c r="AK8" s="65" t="s">
        <v>38</v>
      </c>
      <c r="AL8" s="65" t="s">
        <v>38</v>
      </c>
      <c r="AM8" s="65" t="s">
        <v>39</v>
      </c>
      <c r="AN8" s="65" t="s">
        <v>40</v>
      </c>
      <c r="AO8" s="16" t="s">
        <v>38</v>
      </c>
      <c r="AP8" s="15"/>
      <c r="AQ8" s="13"/>
      <c r="AR8" s="135">
        <v>1</v>
      </c>
      <c r="AS8" s="106">
        <v>1001</v>
      </c>
      <c r="AT8" s="142" t="str">
        <f t="shared" ref="AT8:AT27" si="3">$L$4</f>
        <v>December</v>
      </c>
      <c r="AU8" s="142" t="s">
        <v>1</v>
      </c>
      <c r="AV8" s="109">
        <f t="shared" ref="AV8:AV27" si="4">COUNTIF($K8:$AO8,"*P*")</f>
        <v>18</v>
      </c>
      <c r="AW8" s="101">
        <f t="shared" ref="AW8:AW27" si="5">COUNTIF($K8:$AO8,"*A*")</f>
        <v>5</v>
      </c>
      <c r="AX8" s="101">
        <f t="shared" ref="AX8:AX27" si="6">COUNTIF($K8:$AO8,"*L*")</f>
        <v>4</v>
      </c>
      <c r="AY8" s="101">
        <f>$J$8</f>
        <v>4</v>
      </c>
      <c r="AZ8" s="112">
        <f>$K$4</f>
        <v>31</v>
      </c>
      <c r="BA8" s="112">
        <f>(AZ8-AW8)</f>
        <v>26</v>
      </c>
      <c r="BB8" s="115">
        <v>15000</v>
      </c>
      <c r="BC8" s="122">
        <f>DecReport[[#This Row],[SALARY]]/DecReport[[#This Row],[PAID DAYS]]</f>
        <v>576.92307692307691</v>
      </c>
      <c r="BD8" s="118">
        <f>DecReport[[#This Row],[SALARY]]-DecReport[[#This Row],[ DEDUCTION]]</f>
        <v>14423.076923076924</v>
      </c>
      <c r="BE8" s="124"/>
      <c r="BF8" s="14"/>
      <c r="BG8" s="14"/>
      <c r="BH8" s="4"/>
      <c r="BI8" s="4"/>
      <c r="BJ8" s="4"/>
      <c r="BK8" s="4"/>
      <c r="BL8" s="4"/>
      <c r="BM8" s="4"/>
    </row>
    <row r="9" spans="4:65" ht="30" customHeight="1">
      <c r="D9" s="55"/>
      <c r="E9" s="56"/>
      <c r="F9" s="56"/>
      <c r="G9" s="6">
        <v>2</v>
      </c>
      <c r="H9" s="51">
        <v>1002</v>
      </c>
      <c r="I9" s="7" t="s">
        <v>2</v>
      </c>
      <c r="J9" s="6">
        <f t="shared" ref="J9:J27" si="7">COUNTIF($K$6:$AO$6,"sun")</f>
        <v>4</v>
      </c>
      <c r="K9" s="51" t="s">
        <v>38</v>
      </c>
      <c r="L9" s="51" t="s">
        <v>38</v>
      </c>
      <c r="M9" s="51" t="s">
        <v>38</v>
      </c>
      <c r="N9" s="51" t="s">
        <v>38</v>
      </c>
      <c r="O9" s="51" t="str">
        <f t="shared" si="2"/>
        <v>Wo</v>
      </c>
      <c r="P9" s="51" t="s">
        <v>38</v>
      </c>
      <c r="Q9" s="51" t="s">
        <v>38</v>
      </c>
      <c r="R9" s="51" t="s">
        <v>40</v>
      </c>
      <c r="S9" s="51" t="s">
        <v>38</v>
      </c>
      <c r="T9" s="51" t="s">
        <v>38</v>
      </c>
      <c r="U9" s="51" t="s">
        <v>38</v>
      </c>
      <c r="V9" s="51" t="str">
        <f t="shared" si="2"/>
        <v>Wo</v>
      </c>
      <c r="W9" s="51" t="s">
        <v>38</v>
      </c>
      <c r="X9" s="51" t="s">
        <v>38</v>
      </c>
      <c r="Y9" s="51" t="s">
        <v>38</v>
      </c>
      <c r="Z9" s="51" t="s">
        <v>40</v>
      </c>
      <c r="AA9" s="51" t="s">
        <v>38</v>
      </c>
      <c r="AB9" s="51" t="s">
        <v>38</v>
      </c>
      <c r="AC9" s="51" t="str">
        <f t="shared" si="2"/>
        <v>Wo</v>
      </c>
      <c r="AD9" s="65" t="s">
        <v>38</v>
      </c>
      <c r="AE9" s="65" t="s">
        <v>38</v>
      </c>
      <c r="AF9" s="65" t="s">
        <v>40</v>
      </c>
      <c r="AG9" s="65" t="s">
        <v>38</v>
      </c>
      <c r="AH9" s="65" t="s">
        <v>38</v>
      </c>
      <c r="AI9" s="65" t="s">
        <v>38</v>
      </c>
      <c r="AJ9" s="65" t="str">
        <f t="shared" si="2"/>
        <v>Wo</v>
      </c>
      <c r="AK9" s="65" t="s">
        <v>38</v>
      </c>
      <c r="AL9" s="65" t="s">
        <v>38</v>
      </c>
      <c r="AM9" s="65" t="s">
        <v>38</v>
      </c>
      <c r="AN9" s="65" t="s">
        <v>40</v>
      </c>
      <c r="AO9" s="16" t="s">
        <v>38</v>
      </c>
      <c r="AP9" s="15"/>
      <c r="AQ9" s="13"/>
      <c r="AR9" s="7">
        <v>2</v>
      </c>
      <c r="AS9" s="107">
        <v>1002</v>
      </c>
      <c r="AT9" s="6" t="str">
        <f t="shared" si="3"/>
        <v>December</v>
      </c>
      <c r="AU9" s="6" t="s">
        <v>2</v>
      </c>
      <c r="AV9" s="110">
        <f t="shared" si="4"/>
        <v>23</v>
      </c>
      <c r="AW9" s="103">
        <f t="shared" si="5"/>
        <v>0</v>
      </c>
      <c r="AX9" s="103">
        <f t="shared" si="6"/>
        <v>4</v>
      </c>
      <c r="AY9" s="103">
        <f t="shared" ref="AY9:AY27" si="8">$J$8</f>
        <v>4</v>
      </c>
      <c r="AZ9" s="113">
        <f t="shared" ref="AZ9:AZ27" si="9">$K$4</f>
        <v>31</v>
      </c>
      <c r="BA9" s="113">
        <f t="shared" ref="BA9:BA27" si="10">(AZ9-AW9)</f>
        <v>31</v>
      </c>
      <c r="BB9" s="116">
        <v>16000</v>
      </c>
      <c r="BC9" s="123">
        <f>DecReport[[#This Row],[SALARY]]/DecReport[[#This Row],[PAID DAYS]]</f>
        <v>516.12903225806451</v>
      </c>
      <c r="BD9" s="119">
        <f>DecReport[[#This Row],[SALARY]]-DecReport[[#This Row],[ DEDUCTION]]</f>
        <v>15483.870967741936</v>
      </c>
      <c r="BE9" s="121"/>
      <c r="BF9" s="14"/>
      <c r="BG9" s="14"/>
      <c r="BH9" s="4"/>
      <c r="BI9" s="4"/>
      <c r="BJ9" s="4"/>
      <c r="BK9" s="4"/>
      <c r="BL9" s="4"/>
      <c r="BM9" s="4"/>
    </row>
    <row r="10" spans="4:65" ht="30" customHeight="1">
      <c r="D10" s="55"/>
      <c r="E10" s="56"/>
      <c r="F10" s="56"/>
      <c r="G10" s="6">
        <v>3</v>
      </c>
      <c r="H10" s="51">
        <v>1003</v>
      </c>
      <c r="I10" s="7" t="s">
        <v>3</v>
      </c>
      <c r="J10" s="6">
        <f t="shared" si="7"/>
        <v>4</v>
      </c>
      <c r="K10" s="51" t="s">
        <v>38</v>
      </c>
      <c r="L10" s="51" t="s">
        <v>38</v>
      </c>
      <c r="M10" s="51" t="s">
        <v>38</v>
      </c>
      <c r="N10" s="51" t="s">
        <v>38</v>
      </c>
      <c r="O10" s="51" t="str">
        <f t="shared" si="2"/>
        <v>Wo</v>
      </c>
      <c r="P10" s="51" t="s">
        <v>38</v>
      </c>
      <c r="Q10" s="51" t="s">
        <v>38</v>
      </c>
      <c r="R10" s="51" t="s">
        <v>40</v>
      </c>
      <c r="S10" s="51" t="s">
        <v>38</v>
      </c>
      <c r="T10" s="51" t="s">
        <v>38</v>
      </c>
      <c r="U10" s="51" t="s">
        <v>38</v>
      </c>
      <c r="V10" s="51" t="str">
        <f t="shared" si="2"/>
        <v>Wo</v>
      </c>
      <c r="W10" s="51" t="s">
        <v>39</v>
      </c>
      <c r="X10" s="51" t="s">
        <v>38</v>
      </c>
      <c r="Y10" s="51" t="s">
        <v>38</v>
      </c>
      <c r="Z10" s="51" t="s">
        <v>40</v>
      </c>
      <c r="AA10" s="51" t="s">
        <v>38</v>
      </c>
      <c r="AB10" s="51" t="s">
        <v>38</v>
      </c>
      <c r="AC10" s="51" t="str">
        <f t="shared" si="2"/>
        <v>Wo</v>
      </c>
      <c r="AD10" s="65" t="s">
        <v>38</v>
      </c>
      <c r="AE10" s="65" t="s">
        <v>38</v>
      </c>
      <c r="AF10" s="65" t="s">
        <v>40</v>
      </c>
      <c r="AG10" s="65" t="s">
        <v>38</v>
      </c>
      <c r="AH10" s="65" t="s">
        <v>38</v>
      </c>
      <c r="AI10" s="65" t="s">
        <v>38</v>
      </c>
      <c r="AJ10" s="65" t="str">
        <f t="shared" si="2"/>
        <v>Wo</v>
      </c>
      <c r="AK10" s="65" t="s">
        <v>38</v>
      </c>
      <c r="AL10" s="65" t="s">
        <v>38</v>
      </c>
      <c r="AM10" s="65" t="s">
        <v>38</v>
      </c>
      <c r="AN10" s="65" t="s">
        <v>40</v>
      </c>
      <c r="AO10" s="16" t="s">
        <v>38</v>
      </c>
      <c r="AP10" s="15"/>
      <c r="AQ10" s="13"/>
      <c r="AR10" s="7">
        <v>3</v>
      </c>
      <c r="AS10" s="107">
        <v>1003</v>
      </c>
      <c r="AT10" s="6" t="str">
        <f t="shared" si="3"/>
        <v>December</v>
      </c>
      <c r="AU10" s="6" t="s">
        <v>3</v>
      </c>
      <c r="AV10" s="110">
        <f t="shared" si="4"/>
        <v>22</v>
      </c>
      <c r="AW10" s="103">
        <f t="shared" si="5"/>
        <v>1</v>
      </c>
      <c r="AX10" s="103">
        <f t="shared" si="6"/>
        <v>4</v>
      </c>
      <c r="AY10" s="103">
        <f t="shared" si="8"/>
        <v>4</v>
      </c>
      <c r="AZ10" s="113">
        <f t="shared" si="9"/>
        <v>31</v>
      </c>
      <c r="BA10" s="113">
        <f t="shared" si="10"/>
        <v>30</v>
      </c>
      <c r="BB10" s="116">
        <v>18000</v>
      </c>
      <c r="BC10" s="123">
        <f>DecReport[[#This Row],[SALARY]]/DecReport[[#This Row],[PAID DAYS]]</f>
        <v>600</v>
      </c>
      <c r="BD10" s="119">
        <f>DecReport[[#This Row],[SALARY]]-DecReport[[#This Row],[ DEDUCTION]]</f>
        <v>17400</v>
      </c>
      <c r="BE10" s="121"/>
      <c r="BF10" s="14"/>
      <c r="BG10" s="14"/>
      <c r="BH10" s="4"/>
      <c r="BI10" s="4"/>
      <c r="BJ10" s="4"/>
      <c r="BK10" s="4"/>
      <c r="BL10" s="4"/>
      <c r="BM10" s="4"/>
    </row>
    <row r="11" spans="4:65" ht="30" customHeight="1">
      <c r="D11" s="55"/>
      <c r="E11" s="56"/>
      <c r="F11" s="56"/>
      <c r="G11" s="6">
        <v>4</v>
      </c>
      <c r="H11" s="51">
        <v>1004</v>
      </c>
      <c r="I11" s="7" t="s">
        <v>4</v>
      </c>
      <c r="J11" s="6">
        <f t="shared" si="7"/>
        <v>4</v>
      </c>
      <c r="K11" s="51" t="s">
        <v>38</v>
      </c>
      <c r="L11" s="51" t="s">
        <v>38</v>
      </c>
      <c r="M11" s="51" t="s">
        <v>38</v>
      </c>
      <c r="N11" s="51" t="s">
        <v>38</v>
      </c>
      <c r="O11" s="51" t="str">
        <f t="shared" si="2"/>
        <v>Wo</v>
      </c>
      <c r="P11" s="51" t="s">
        <v>38</v>
      </c>
      <c r="Q11" s="51" t="s">
        <v>38</v>
      </c>
      <c r="R11" s="51" t="s">
        <v>40</v>
      </c>
      <c r="S11" s="51" t="s">
        <v>38</v>
      </c>
      <c r="T11" s="51" t="s">
        <v>38</v>
      </c>
      <c r="U11" s="51" t="s">
        <v>38</v>
      </c>
      <c r="V11" s="51" t="str">
        <f t="shared" si="2"/>
        <v>Wo</v>
      </c>
      <c r="W11" s="51" t="s">
        <v>38</v>
      </c>
      <c r="X11" s="51" t="s">
        <v>38</v>
      </c>
      <c r="Y11" s="51" t="s">
        <v>38</v>
      </c>
      <c r="Z11" s="51" t="s">
        <v>40</v>
      </c>
      <c r="AA11" s="51" t="s">
        <v>38</v>
      </c>
      <c r="AB11" s="51" t="s">
        <v>38</v>
      </c>
      <c r="AC11" s="51" t="str">
        <f t="shared" si="2"/>
        <v>Wo</v>
      </c>
      <c r="AD11" s="65" t="s">
        <v>39</v>
      </c>
      <c r="AE11" s="65" t="s">
        <v>38</v>
      </c>
      <c r="AF11" s="65" t="s">
        <v>40</v>
      </c>
      <c r="AG11" s="65" t="s">
        <v>38</v>
      </c>
      <c r="AH11" s="65" t="s">
        <v>38</v>
      </c>
      <c r="AI11" s="65" t="s">
        <v>38</v>
      </c>
      <c r="AJ11" s="65" t="str">
        <f t="shared" si="2"/>
        <v>Wo</v>
      </c>
      <c r="AK11" s="65" t="s">
        <v>38</v>
      </c>
      <c r="AL11" s="65" t="s">
        <v>38</v>
      </c>
      <c r="AM11" s="65" t="s">
        <v>38</v>
      </c>
      <c r="AN11" s="65" t="s">
        <v>40</v>
      </c>
      <c r="AO11" s="16" t="s">
        <v>38</v>
      </c>
      <c r="AP11" s="15"/>
      <c r="AQ11" s="13"/>
      <c r="AR11" s="7">
        <v>4</v>
      </c>
      <c r="AS11" s="107">
        <v>1004</v>
      </c>
      <c r="AT11" s="6" t="str">
        <f t="shared" si="3"/>
        <v>December</v>
      </c>
      <c r="AU11" s="6" t="s">
        <v>4</v>
      </c>
      <c r="AV11" s="110">
        <f t="shared" si="4"/>
        <v>22</v>
      </c>
      <c r="AW11" s="103">
        <f t="shared" si="5"/>
        <v>1</v>
      </c>
      <c r="AX11" s="103">
        <f t="shared" si="6"/>
        <v>4</v>
      </c>
      <c r="AY11" s="103">
        <f t="shared" si="8"/>
        <v>4</v>
      </c>
      <c r="AZ11" s="113">
        <f t="shared" si="9"/>
        <v>31</v>
      </c>
      <c r="BA11" s="113">
        <f t="shared" si="10"/>
        <v>30</v>
      </c>
      <c r="BB11" s="116">
        <v>21000</v>
      </c>
      <c r="BC11" s="123">
        <f>DecReport[[#This Row],[SALARY]]/DecReport[[#This Row],[PAID DAYS]]</f>
        <v>700</v>
      </c>
      <c r="BD11" s="119">
        <f>DecReport[[#This Row],[SALARY]]-DecReport[[#This Row],[ DEDUCTION]]</f>
        <v>20300</v>
      </c>
      <c r="BE11" s="121"/>
      <c r="BF11" s="14"/>
      <c r="BG11" s="14"/>
      <c r="BH11" s="4"/>
      <c r="BI11" s="4"/>
      <c r="BJ11" s="4"/>
      <c r="BK11" s="4"/>
      <c r="BL11" s="4"/>
      <c r="BM11" s="4"/>
    </row>
    <row r="12" spans="4:65" ht="30" customHeight="1">
      <c r="D12" s="55"/>
      <c r="E12" s="56"/>
      <c r="F12" s="56"/>
      <c r="G12" s="6">
        <v>5</v>
      </c>
      <c r="H12" s="51">
        <v>1005</v>
      </c>
      <c r="I12" s="7" t="s">
        <v>5</v>
      </c>
      <c r="J12" s="6">
        <f t="shared" si="7"/>
        <v>4</v>
      </c>
      <c r="K12" s="51" t="s">
        <v>38</v>
      </c>
      <c r="L12" s="51" t="s">
        <v>38</v>
      </c>
      <c r="M12" s="51" t="s">
        <v>38</v>
      </c>
      <c r="N12" s="51" t="s">
        <v>38</v>
      </c>
      <c r="O12" s="51" t="str">
        <f t="shared" si="2"/>
        <v>Wo</v>
      </c>
      <c r="P12" s="51" t="s">
        <v>38</v>
      </c>
      <c r="Q12" s="51" t="s">
        <v>38</v>
      </c>
      <c r="R12" s="51" t="s">
        <v>40</v>
      </c>
      <c r="S12" s="51" t="s">
        <v>38</v>
      </c>
      <c r="T12" s="51" t="s">
        <v>38</v>
      </c>
      <c r="U12" s="51" t="s">
        <v>38</v>
      </c>
      <c r="V12" s="51" t="str">
        <f t="shared" si="2"/>
        <v>Wo</v>
      </c>
      <c r="W12" s="51" t="s">
        <v>38</v>
      </c>
      <c r="X12" s="51" t="s">
        <v>38</v>
      </c>
      <c r="Y12" s="51" t="s">
        <v>38</v>
      </c>
      <c r="Z12" s="51" t="s">
        <v>40</v>
      </c>
      <c r="AA12" s="51" t="s">
        <v>38</v>
      </c>
      <c r="AB12" s="51" t="s">
        <v>38</v>
      </c>
      <c r="AC12" s="51" t="str">
        <f t="shared" si="2"/>
        <v>Wo</v>
      </c>
      <c r="AD12" s="65" t="s">
        <v>38</v>
      </c>
      <c r="AE12" s="65" t="s">
        <v>38</v>
      </c>
      <c r="AF12" s="65" t="s">
        <v>40</v>
      </c>
      <c r="AG12" s="65" t="s">
        <v>38</v>
      </c>
      <c r="AH12" s="65" t="s">
        <v>38</v>
      </c>
      <c r="AI12" s="65" t="s">
        <v>38</v>
      </c>
      <c r="AJ12" s="65" t="str">
        <f t="shared" si="2"/>
        <v>Wo</v>
      </c>
      <c r="AK12" s="65" t="s">
        <v>38</v>
      </c>
      <c r="AL12" s="65" t="s">
        <v>38</v>
      </c>
      <c r="AM12" s="65" t="s">
        <v>38</v>
      </c>
      <c r="AN12" s="65" t="s">
        <v>40</v>
      </c>
      <c r="AO12" s="16" t="s">
        <v>38</v>
      </c>
      <c r="AP12" s="15"/>
      <c r="AQ12" s="13"/>
      <c r="AR12" s="7">
        <v>5</v>
      </c>
      <c r="AS12" s="107">
        <v>1005</v>
      </c>
      <c r="AT12" s="6" t="str">
        <f t="shared" si="3"/>
        <v>December</v>
      </c>
      <c r="AU12" s="6" t="s">
        <v>5</v>
      </c>
      <c r="AV12" s="110">
        <f t="shared" si="4"/>
        <v>23</v>
      </c>
      <c r="AW12" s="103">
        <f t="shared" si="5"/>
        <v>0</v>
      </c>
      <c r="AX12" s="103">
        <f t="shared" si="6"/>
        <v>4</v>
      </c>
      <c r="AY12" s="103">
        <f t="shared" si="8"/>
        <v>4</v>
      </c>
      <c r="AZ12" s="113">
        <f t="shared" si="9"/>
        <v>31</v>
      </c>
      <c r="BA12" s="113">
        <f t="shared" si="10"/>
        <v>31</v>
      </c>
      <c r="BB12" s="116">
        <v>30000</v>
      </c>
      <c r="BC12" s="123">
        <f>DecReport[[#This Row],[SALARY]]/DecReport[[#This Row],[PAID DAYS]]</f>
        <v>967.74193548387098</v>
      </c>
      <c r="BD12" s="119">
        <f>DecReport[[#This Row],[SALARY]]-DecReport[[#This Row],[ DEDUCTION]]</f>
        <v>29032.258064516129</v>
      </c>
      <c r="BE12" s="121"/>
      <c r="BF12" s="14"/>
      <c r="BG12" s="14"/>
      <c r="BH12" s="4"/>
      <c r="BI12" s="4"/>
      <c r="BJ12" s="4"/>
      <c r="BK12" s="4"/>
      <c r="BL12" s="4"/>
      <c r="BM12" s="4"/>
    </row>
    <row r="13" spans="4:65" ht="30" customHeight="1">
      <c r="D13" s="55"/>
      <c r="E13" s="56"/>
      <c r="F13" s="56"/>
      <c r="G13" s="6">
        <v>6</v>
      </c>
      <c r="H13" s="51">
        <v>1006</v>
      </c>
      <c r="I13" s="7" t="s">
        <v>6</v>
      </c>
      <c r="J13" s="6">
        <f t="shared" si="7"/>
        <v>4</v>
      </c>
      <c r="K13" s="51" t="s">
        <v>38</v>
      </c>
      <c r="L13" s="51" t="s">
        <v>38</v>
      </c>
      <c r="M13" s="51" t="s">
        <v>38</v>
      </c>
      <c r="N13" s="51" t="s">
        <v>38</v>
      </c>
      <c r="O13" s="51" t="str">
        <f t="shared" si="2"/>
        <v>Wo</v>
      </c>
      <c r="P13" s="51" t="s">
        <v>38</v>
      </c>
      <c r="Q13" s="51" t="s">
        <v>38</v>
      </c>
      <c r="R13" s="51" t="s">
        <v>40</v>
      </c>
      <c r="S13" s="51" t="s">
        <v>39</v>
      </c>
      <c r="T13" s="51" t="s">
        <v>38</v>
      </c>
      <c r="U13" s="51" t="s">
        <v>38</v>
      </c>
      <c r="V13" s="51" t="str">
        <f t="shared" si="2"/>
        <v>Wo</v>
      </c>
      <c r="W13" s="51" t="s">
        <v>38</v>
      </c>
      <c r="X13" s="51" t="s">
        <v>38</v>
      </c>
      <c r="Y13" s="51" t="s">
        <v>38</v>
      </c>
      <c r="Z13" s="51" t="s">
        <v>40</v>
      </c>
      <c r="AA13" s="51" t="s">
        <v>38</v>
      </c>
      <c r="AB13" s="51" t="s">
        <v>38</v>
      </c>
      <c r="AC13" s="51" t="str">
        <f t="shared" si="2"/>
        <v>Wo</v>
      </c>
      <c r="AD13" s="65" t="s">
        <v>38</v>
      </c>
      <c r="AE13" s="65" t="s">
        <v>38</v>
      </c>
      <c r="AF13" s="65" t="s">
        <v>40</v>
      </c>
      <c r="AG13" s="65" t="s">
        <v>38</v>
      </c>
      <c r="AH13" s="65" t="s">
        <v>38</v>
      </c>
      <c r="AI13" s="65" t="s">
        <v>38</v>
      </c>
      <c r="AJ13" s="65" t="str">
        <f t="shared" si="2"/>
        <v>Wo</v>
      </c>
      <c r="AK13" s="65" t="s">
        <v>38</v>
      </c>
      <c r="AL13" s="65" t="s">
        <v>38</v>
      </c>
      <c r="AM13" s="65" t="s">
        <v>38</v>
      </c>
      <c r="AN13" s="65" t="s">
        <v>40</v>
      </c>
      <c r="AO13" s="16" t="s">
        <v>38</v>
      </c>
      <c r="AP13" s="15"/>
      <c r="AQ13" s="13"/>
      <c r="AR13" s="7">
        <v>6</v>
      </c>
      <c r="AS13" s="107">
        <v>1006</v>
      </c>
      <c r="AT13" s="6" t="str">
        <f t="shared" si="3"/>
        <v>December</v>
      </c>
      <c r="AU13" s="6" t="s">
        <v>6</v>
      </c>
      <c r="AV13" s="110">
        <f t="shared" si="4"/>
        <v>22</v>
      </c>
      <c r="AW13" s="103">
        <f t="shared" si="5"/>
        <v>1</v>
      </c>
      <c r="AX13" s="103">
        <f t="shared" si="6"/>
        <v>4</v>
      </c>
      <c r="AY13" s="103">
        <f t="shared" si="8"/>
        <v>4</v>
      </c>
      <c r="AZ13" s="113">
        <f t="shared" si="9"/>
        <v>31</v>
      </c>
      <c r="BA13" s="113">
        <f t="shared" si="10"/>
        <v>30</v>
      </c>
      <c r="BB13" s="116">
        <v>25000</v>
      </c>
      <c r="BC13" s="123">
        <f>DecReport[[#This Row],[SALARY]]/DecReport[[#This Row],[PAID DAYS]]</f>
        <v>833.33333333333337</v>
      </c>
      <c r="BD13" s="119">
        <f>DecReport[[#This Row],[SALARY]]-DecReport[[#This Row],[ DEDUCTION]]</f>
        <v>24166.666666666668</v>
      </c>
      <c r="BE13" s="121"/>
      <c r="BF13" s="14"/>
      <c r="BG13" s="14"/>
      <c r="BH13" s="4"/>
      <c r="BI13" s="4"/>
      <c r="BJ13" s="4"/>
      <c r="BK13" s="4"/>
      <c r="BL13" s="4"/>
      <c r="BM13" s="4"/>
    </row>
    <row r="14" spans="4:65" ht="30" customHeight="1">
      <c r="D14" s="55"/>
      <c r="E14" s="56"/>
      <c r="F14" s="56"/>
      <c r="G14" s="6">
        <v>7</v>
      </c>
      <c r="H14" s="51">
        <v>1007</v>
      </c>
      <c r="I14" s="7" t="s">
        <v>7</v>
      </c>
      <c r="J14" s="6">
        <f t="shared" si="7"/>
        <v>4</v>
      </c>
      <c r="K14" s="51" t="s">
        <v>38</v>
      </c>
      <c r="L14" s="51" t="s">
        <v>38</v>
      </c>
      <c r="M14" s="51" t="s">
        <v>38</v>
      </c>
      <c r="N14" s="51" t="s">
        <v>38</v>
      </c>
      <c r="O14" s="51" t="str">
        <f t="shared" si="2"/>
        <v>Wo</v>
      </c>
      <c r="P14" s="51" t="s">
        <v>38</v>
      </c>
      <c r="Q14" s="51" t="s">
        <v>38</v>
      </c>
      <c r="R14" s="51" t="s">
        <v>40</v>
      </c>
      <c r="S14" s="51" t="s">
        <v>38</v>
      </c>
      <c r="T14" s="51" t="s">
        <v>38</v>
      </c>
      <c r="U14" s="51" t="s">
        <v>38</v>
      </c>
      <c r="V14" s="51" t="str">
        <f t="shared" si="2"/>
        <v>Wo</v>
      </c>
      <c r="W14" s="51" t="s">
        <v>38</v>
      </c>
      <c r="X14" s="51" t="s">
        <v>38</v>
      </c>
      <c r="Y14" s="51" t="s">
        <v>38</v>
      </c>
      <c r="Z14" s="51" t="s">
        <v>40</v>
      </c>
      <c r="AA14" s="51" t="s">
        <v>38</v>
      </c>
      <c r="AB14" s="51" t="s">
        <v>38</v>
      </c>
      <c r="AC14" s="51" t="str">
        <f t="shared" si="2"/>
        <v>Wo</v>
      </c>
      <c r="AD14" s="65" t="s">
        <v>38</v>
      </c>
      <c r="AE14" s="65" t="s">
        <v>38</v>
      </c>
      <c r="AF14" s="65" t="s">
        <v>40</v>
      </c>
      <c r="AG14" s="65" t="s">
        <v>38</v>
      </c>
      <c r="AH14" s="65" t="s">
        <v>38</v>
      </c>
      <c r="AI14" s="65" t="s">
        <v>38</v>
      </c>
      <c r="AJ14" s="65" t="str">
        <f t="shared" si="2"/>
        <v>Wo</v>
      </c>
      <c r="AK14" s="65" t="s">
        <v>38</v>
      </c>
      <c r="AL14" s="65" t="s">
        <v>38</v>
      </c>
      <c r="AM14" s="65" t="s">
        <v>38</v>
      </c>
      <c r="AN14" s="65" t="s">
        <v>40</v>
      </c>
      <c r="AO14" s="16" t="s">
        <v>38</v>
      </c>
      <c r="AP14" s="15"/>
      <c r="AQ14" s="13"/>
      <c r="AR14" s="7">
        <v>7</v>
      </c>
      <c r="AS14" s="107">
        <v>1007</v>
      </c>
      <c r="AT14" s="6" t="str">
        <f t="shared" si="3"/>
        <v>December</v>
      </c>
      <c r="AU14" s="6" t="s">
        <v>7</v>
      </c>
      <c r="AV14" s="110">
        <f t="shared" si="4"/>
        <v>23</v>
      </c>
      <c r="AW14" s="103">
        <f t="shared" si="5"/>
        <v>0</v>
      </c>
      <c r="AX14" s="103">
        <f t="shared" si="6"/>
        <v>4</v>
      </c>
      <c r="AY14" s="103">
        <f t="shared" si="8"/>
        <v>4</v>
      </c>
      <c r="AZ14" s="113">
        <f t="shared" si="9"/>
        <v>31</v>
      </c>
      <c r="BA14" s="113">
        <f t="shared" si="10"/>
        <v>31</v>
      </c>
      <c r="BB14" s="116">
        <v>30000</v>
      </c>
      <c r="BC14" s="123">
        <f>DecReport[[#This Row],[SALARY]]/DecReport[[#This Row],[PAID DAYS]]</f>
        <v>967.74193548387098</v>
      </c>
      <c r="BD14" s="119">
        <f>DecReport[[#This Row],[SALARY]]-DecReport[[#This Row],[ DEDUCTION]]</f>
        <v>29032.258064516129</v>
      </c>
      <c r="BE14" s="121"/>
      <c r="BF14" s="14"/>
      <c r="BG14" s="14"/>
      <c r="BH14" s="4"/>
      <c r="BI14" s="4"/>
      <c r="BJ14" s="4"/>
      <c r="BK14" s="4"/>
      <c r="BL14" s="4"/>
      <c r="BM14" s="4"/>
    </row>
    <row r="15" spans="4:65" ht="30" customHeight="1">
      <c r="D15" s="55"/>
      <c r="E15" s="56"/>
      <c r="F15" s="56"/>
      <c r="G15" s="6">
        <v>8</v>
      </c>
      <c r="H15" s="51">
        <v>1008</v>
      </c>
      <c r="I15" s="7" t="s">
        <v>8</v>
      </c>
      <c r="J15" s="6">
        <f t="shared" si="7"/>
        <v>4</v>
      </c>
      <c r="K15" s="51" t="s">
        <v>38</v>
      </c>
      <c r="L15" s="51" t="s">
        <v>38</v>
      </c>
      <c r="M15" s="51" t="s">
        <v>38</v>
      </c>
      <c r="N15" s="51" t="s">
        <v>38</v>
      </c>
      <c r="O15" s="51" t="str">
        <f t="shared" si="2"/>
        <v>Wo</v>
      </c>
      <c r="P15" s="51" t="s">
        <v>38</v>
      </c>
      <c r="Q15" s="51" t="s">
        <v>38</v>
      </c>
      <c r="R15" s="51" t="s">
        <v>40</v>
      </c>
      <c r="S15" s="51" t="s">
        <v>38</v>
      </c>
      <c r="T15" s="51" t="s">
        <v>38</v>
      </c>
      <c r="U15" s="51" t="s">
        <v>38</v>
      </c>
      <c r="V15" s="51" t="str">
        <f t="shared" si="2"/>
        <v>Wo</v>
      </c>
      <c r="W15" s="51" t="s">
        <v>39</v>
      </c>
      <c r="X15" s="51" t="s">
        <v>38</v>
      </c>
      <c r="Y15" s="51" t="s">
        <v>38</v>
      </c>
      <c r="Z15" s="51" t="s">
        <v>40</v>
      </c>
      <c r="AA15" s="51" t="s">
        <v>38</v>
      </c>
      <c r="AB15" s="51" t="s">
        <v>38</v>
      </c>
      <c r="AC15" s="51" t="str">
        <f t="shared" si="2"/>
        <v>Wo</v>
      </c>
      <c r="AD15" s="65" t="s">
        <v>38</v>
      </c>
      <c r="AE15" s="65" t="s">
        <v>38</v>
      </c>
      <c r="AF15" s="65" t="s">
        <v>40</v>
      </c>
      <c r="AG15" s="65" t="s">
        <v>38</v>
      </c>
      <c r="AH15" s="65" t="s">
        <v>38</v>
      </c>
      <c r="AI15" s="65" t="s">
        <v>39</v>
      </c>
      <c r="AJ15" s="65" t="str">
        <f t="shared" si="2"/>
        <v>Wo</v>
      </c>
      <c r="AK15" s="65" t="s">
        <v>38</v>
      </c>
      <c r="AL15" s="65" t="s">
        <v>39</v>
      </c>
      <c r="AM15" s="65" t="s">
        <v>38</v>
      </c>
      <c r="AN15" s="65" t="s">
        <v>40</v>
      </c>
      <c r="AO15" s="16" t="s">
        <v>39</v>
      </c>
      <c r="AP15" s="15"/>
      <c r="AQ15" s="13"/>
      <c r="AR15" s="7">
        <v>8</v>
      </c>
      <c r="AS15" s="107">
        <v>1008</v>
      </c>
      <c r="AT15" s="6" t="str">
        <f t="shared" si="3"/>
        <v>December</v>
      </c>
      <c r="AU15" s="6" t="s">
        <v>8</v>
      </c>
      <c r="AV15" s="110">
        <f t="shared" si="4"/>
        <v>19</v>
      </c>
      <c r="AW15" s="103">
        <f t="shared" si="5"/>
        <v>4</v>
      </c>
      <c r="AX15" s="103">
        <f t="shared" si="6"/>
        <v>4</v>
      </c>
      <c r="AY15" s="103">
        <f t="shared" si="8"/>
        <v>4</v>
      </c>
      <c r="AZ15" s="113">
        <f t="shared" si="9"/>
        <v>31</v>
      </c>
      <c r="BA15" s="113">
        <f t="shared" si="10"/>
        <v>27</v>
      </c>
      <c r="BB15" s="116">
        <v>35000</v>
      </c>
      <c r="BC15" s="123">
        <f>DecReport[[#This Row],[SALARY]]/DecReport[[#This Row],[PAID DAYS]]</f>
        <v>1296.2962962962963</v>
      </c>
      <c r="BD15" s="119">
        <f>DecReport[[#This Row],[SALARY]]-DecReport[[#This Row],[ DEDUCTION]]</f>
        <v>33703.703703703701</v>
      </c>
      <c r="BE15" s="121"/>
      <c r="BF15" s="14"/>
      <c r="BG15" s="14"/>
      <c r="BH15" s="4"/>
      <c r="BI15" s="4"/>
      <c r="BJ15" s="4"/>
      <c r="BK15" s="4"/>
      <c r="BL15" s="4"/>
      <c r="BM15" s="4"/>
    </row>
    <row r="16" spans="4:65" ht="30" customHeight="1">
      <c r="D16" s="55"/>
      <c r="E16" s="56" t="s">
        <v>0</v>
      </c>
      <c r="F16" s="56"/>
      <c r="G16" s="6">
        <v>9</v>
      </c>
      <c r="H16" s="51">
        <v>1009</v>
      </c>
      <c r="I16" s="7" t="s">
        <v>9</v>
      </c>
      <c r="J16" s="6">
        <f t="shared" si="7"/>
        <v>4</v>
      </c>
      <c r="K16" s="51" t="s">
        <v>38</v>
      </c>
      <c r="L16" s="51" t="s">
        <v>38</v>
      </c>
      <c r="M16" s="51" t="s">
        <v>38</v>
      </c>
      <c r="N16" s="51" t="s">
        <v>38</v>
      </c>
      <c r="O16" s="51" t="str">
        <f t="shared" si="2"/>
        <v>Wo</v>
      </c>
      <c r="P16" s="51" t="s">
        <v>38</v>
      </c>
      <c r="Q16" s="51" t="s">
        <v>38</v>
      </c>
      <c r="R16" s="51" t="s">
        <v>40</v>
      </c>
      <c r="S16" s="51" t="s">
        <v>38</v>
      </c>
      <c r="T16" s="51" t="s">
        <v>38</v>
      </c>
      <c r="U16" s="51" t="s">
        <v>38</v>
      </c>
      <c r="V16" s="51" t="str">
        <f t="shared" si="2"/>
        <v>Wo</v>
      </c>
      <c r="W16" s="51" t="s">
        <v>38</v>
      </c>
      <c r="X16" s="51" t="s">
        <v>38</v>
      </c>
      <c r="Y16" s="51" t="s">
        <v>39</v>
      </c>
      <c r="Z16" s="51" t="s">
        <v>40</v>
      </c>
      <c r="AA16" s="51" t="s">
        <v>38</v>
      </c>
      <c r="AB16" s="51" t="s">
        <v>38</v>
      </c>
      <c r="AC16" s="51" t="str">
        <f t="shared" si="2"/>
        <v>Wo</v>
      </c>
      <c r="AD16" s="65" t="s">
        <v>38</v>
      </c>
      <c r="AE16" s="65" t="s">
        <v>38</v>
      </c>
      <c r="AF16" s="65" t="s">
        <v>40</v>
      </c>
      <c r="AG16" s="65" t="s">
        <v>38</v>
      </c>
      <c r="AH16" s="65" t="s">
        <v>38</v>
      </c>
      <c r="AI16" s="65" t="s">
        <v>38</v>
      </c>
      <c r="AJ16" s="65" t="str">
        <f t="shared" si="2"/>
        <v>Wo</v>
      </c>
      <c r="AK16" s="65" t="s">
        <v>38</v>
      </c>
      <c r="AL16" s="65" t="s">
        <v>38</v>
      </c>
      <c r="AM16" s="65" t="s">
        <v>38</v>
      </c>
      <c r="AN16" s="65" t="s">
        <v>40</v>
      </c>
      <c r="AO16" s="16" t="s">
        <v>38</v>
      </c>
      <c r="AP16" s="15"/>
      <c r="AQ16" s="13"/>
      <c r="AR16" s="7">
        <v>9</v>
      </c>
      <c r="AS16" s="107">
        <v>1009</v>
      </c>
      <c r="AT16" s="6" t="str">
        <f t="shared" si="3"/>
        <v>December</v>
      </c>
      <c r="AU16" s="6" t="s">
        <v>9</v>
      </c>
      <c r="AV16" s="110">
        <f t="shared" si="4"/>
        <v>22</v>
      </c>
      <c r="AW16" s="103">
        <f t="shared" si="5"/>
        <v>1</v>
      </c>
      <c r="AX16" s="103">
        <f t="shared" si="6"/>
        <v>4</v>
      </c>
      <c r="AY16" s="103">
        <f t="shared" si="8"/>
        <v>4</v>
      </c>
      <c r="AZ16" s="113">
        <f t="shared" si="9"/>
        <v>31</v>
      </c>
      <c r="BA16" s="113">
        <f t="shared" si="10"/>
        <v>30</v>
      </c>
      <c r="BB16" s="116">
        <v>18000</v>
      </c>
      <c r="BC16" s="123">
        <f>DecReport[[#This Row],[SALARY]]/DecReport[[#This Row],[PAID DAYS]]</f>
        <v>600</v>
      </c>
      <c r="BD16" s="119">
        <f>DecReport[[#This Row],[SALARY]]-DecReport[[#This Row],[ DEDUCTION]]</f>
        <v>17400</v>
      </c>
      <c r="BE16" s="121"/>
      <c r="BF16" s="14"/>
      <c r="BG16" s="14"/>
      <c r="BH16" s="4"/>
      <c r="BI16" s="4"/>
      <c r="BJ16" s="4"/>
      <c r="BK16" s="4"/>
      <c r="BL16" s="4"/>
      <c r="BM16" s="4"/>
    </row>
    <row r="17" spans="4:65" ht="30" customHeight="1">
      <c r="D17" s="55"/>
      <c r="E17" s="56"/>
      <c r="F17" s="56"/>
      <c r="G17" s="6">
        <v>10</v>
      </c>
      <c r="H17" s="51">
        <v>1010</v>
      </c>
      <c r="I17" s="7" t="s">
        <v>10</v>
      </c>
      <c r="J17" s="6">
        <f t="shared" si="7"/>
        <v>4</v>
      </c>
      <c r="K17" s="51" t="s">
        <v>38</v>
      </c>
      <c r="L17" s="51" t="s">
        <v>38</v>
      </c>
      <c r="M17" s="51" t="s">
        <v>38</v>
      </c>
      <c r="N17" s="51" t="s">
        <v>38</v>
      </c>
      <c r="O17" s="51" t="str">
        <f t="shared" si="2"/>
        <v>Wo</v>
      </c>
      <c r="P17" s="51" t="s">
        <v>38</v>
      </c>
      <c r="Q17" s="51" t="s">
        <v>39</v>
      </c>
      <c r="R17" s="51" t="s">
        <v>40</v>
      </c>
      <c r="S17" s="51" t="s">
        <v>38</v>
      </c>
      <c r="T17" s="51" t="s">
        <v>38</v>
      </c>
      <c r="U17" s="51" t="s">
        <v>38</v>
      </c>
      <c r="V17" s="51" t="str">
        <f t="shared" si="2"/>
        <v>Wo</v>
      </c>
      <c r="W17" s="51" t="s">
        <v>38</v>
      </c>
      <c r="X17" s="51" t="s">
        <v>38</v>
      </c>
      <c r="Y17" s="51" t="s">
        <v>38</v>
      </c>
      <c r="Z17" s="51" t="s">
        <v>40</v>
      </c>
      <c r="AA17" s="51" t="s">
        <v>38</v>
      </c>
      <c r="AB17" s="51" t="s">
        <v>38</v>
      </c>
      <c r="AC17" s="51" t="str">
        <f t="shared" si="2"/>
        <v>Wo</v>
      </c>
      <c r="AD17" s="65" t="s">
        <v>38</v>
      </c>
      <c r="AE17" s="65" t="s">
        <v>38</v>
      </c>
      <c r="AF17" s="65" t="s">
        <v>40</v>
      </c>
      <c r="AG17" s="65" t="s">
        <v>38</v>
      </c>
      <c r="AH17" s="65" t="s">
        <v>38</v>
      </c>
      <c r="AI17" s="65" t="s">
        <v>38</v>
      </c>
      <c r="AJ17" s="65" t="str">
        <f t="shared" si="2"/>
        <v>Wo</v>
      </c>
      <c r="AK17" s="65" t="s">
        <v>38</v>
      </c>
      <c r="AL17" s="65" t="s">
        <v>38</v>
      </c>
      <c r="AM17" s="65" t="s">
        <v>38</v>
      </c>
      <c r="AN17" s="65" t="s">
        <v>40</v>
      </c>
      <c r="AO17" s="16" t="s">
        <v>38</v>
      </c>
      <c r="AP17" s="15"/>
      <c r="AQ17" s="13"/>
      <c r="AR17" s="7">
        <v>10</v>
      </c>
      <c r="AS17" s="107">
        <v>1010</v>
      </c>
      <c r="AT17" s="6" t="str">
        <f t="shared" si="3"/>
        <v>December</v>
      </c>
      <c r="AU17" s="6" t="s">
        <v>10</v>
      </c>
      <c r="AV17" s="110">
        <f t="shared" si="4"/>
        <v>22</v>
      </c>
      <c r="AW17" s="103">
        <f t="shared" si="5"/>
        <v>1</v>
      </c>
      <c r="AX17" s="103">
        <f t="shared" si="6"/>
        <v>4</v>
      </c>
      <c r="AY17" s="103">
        <f t="shared" si="8"/>
        <v>4</v>
      </c>
      <c r="AZ17" s="113">
        <f t="shared" si="9"/>
        <v>31</v>
      </c>
      <c r="BA17" s="113">
        <f t="shared" si="10"/>
        <v>30</v>
      </c>
      <c r="BB17" s="116">
        <v>45000</v>
      </c>
      <c r="BC17" s="123">
        <f>DecReport[[#This Row],[SALARY]]/DecReport[[#This Row],[PAID DAYS]]</f>
        <v>1500</v>
      </c>
      <c r="BD17" s="119">
        <f>DecReport[[#This Row],[SALARY]]-DecReport[[#This Row],[ DEDUCTION]]</f>
        <v>43500</v>
      </c>
      <c r="BE17" s="121"/>
      <c r="BF17" s="14"/>
      <c r="BG17" s="14"/>
      <c r="BH17" s="4"/>
      <c r="BI17" s="4"/>
      <c r="BJ17" s="4"/>
      <c r="BK17" s="4"/>
      <c r="BL17" s="4"/>
      <c r="BM17" s="4"/>
    </row>
    <row r="18" spans="4:65" ht="30" customHeight="1">
      <c r="D18" s="55"/>
      <c r="E18" s="56"/>
      <c r="F18" s="56"/>
      <c r="G18" s="6">
        <v>11</v>
      </c>
      <c r="H18" s="51">
        <v>1011</v>
      </c>
      <c r="I18" s="7" t="s">
        <v>11</v>
      </c>
      <c r="J18" s="6">
        <f t="shared" si="7"/>
        <v>4</v>
      </c>
      <c r="K18" s="51" t="s">
        <v>38</v>
      </c>
      <c r="L18" s="51" t="s">
        <v>38</v>
      </c>
      <c r="M18" s="51" t="s">
        <v>38</v>
      </c>
      <c r="N18" s="51" t="s">
        <v>38</v>
      </c>
      <c r="O18" s="51" t="str">
        <f t="shared" si="2"/>
        <v>Wo</v>
      </c>
      <c r="P18" s="51" t="s">
        <v>38</v>
      </c>
      <c r="Q18" s="51" t="s">
        <v>38</v>
      </c>
      <c r="R18" s="51" t="s">
        <v>40</v>
      </c>
      <c r="S18" s="51" t="s">
        <v>38</v>
      </c>
      <c r="T18" s="51" t="s">
        <v>38</v>
      </c>
      <c r="U18" s="51" t="s">
        <v>38</v>
      </c>
      <c r="V18" s="51" t="str">
        <f t="shared" si="2"/>
        <v>Wo</v>
      </c>
      <c r="W18" s="51" t="s">
        <v>38</v>
      </c>
      <c r="X18" s="51" t="s">
        <v>39</v>
      </c>
      <c r="Y18" s="51" t="s">
        <v>38</v>
      </c>
      <c r="Z18" s="51" t="s">
        <v>40</v>
      </c>
      <c r="AA18" s="51" t="s">
        <v>38</v>
      </c>
      <c r="AB18" s="51" t="s">
        <v>38</v>
      </c>
      <c r="AC18" s="51" t="str">
        <f t="shared" si="2"/>
        <v>Wo</v>
      </c>
      <c r="AD18" s="65" t="s">
        <v>38</v>
      </c>
      <c r="AE18" s="65" t="s">
        <v>38</v>
      </c>
      <c r="AF18" s="65" t="s">
        <v>40</v>
      </c>
      <c r="AG18" s="65" t="s">
        <v>39</v>
      </c>
      <c r="AH18" s="65" t="s">
        <v>39</v>
      </c>
      <c r="AI18" s="65" t="s">
        <v>38</v>
      </c>
      <c r="AJ18" s="65" t="str">
        <f t="shared" si="2"/>
        <v>Wo</v>
      </c>
      <c r="AK18" s="65" t="s">
        <v>38</v>
      </c>
      <c r="AL18" s="65" t="s">
        <v>38</v>
      </c>
      <c r="AM18" s="65" t="s">
        <v>38</v>
      </c>
      <c r="AN18" s="65" t="s">
        <v>40</v>
      </c>
      <c r="AO18" s="16" t="s">
        <v>38</v>
      </c>
      <c r="AP18" s="15"/>
      <c r="AQ18" s="13"/>
      <c r="AR18" s="7">
        <v>11</v>
      </c>
      <c r="AS18" s="107">
        <v>1011</v>
      </c>
      <c r="AT18" s="6" t="str">
        <f t="shared" si="3"/>
        <v>December</v>
      </c>
      <c r="AU18" s="6" t="s">
        <v>11</v>
      </c>
      <c r="AV18" s="110">
        <f t="shared" si="4"/>
        <v>20</v>
      </c>
      <c r="AW18" s="103">
        <f t="shared" si="5"/>
        <v>3</v>
      </c>
      <c r="AX18" s="103">
        <f t="shared" si="6"/>
        <v>4</v>
      </c>
      <c r="AY18" s="103">
        <f t="shared" si="8"/>
        <v>4</v>
      </c>
      <c r="AZ18" s="113">
        <f t="shared" si="9"/>
        <v>31</v>
      </c>
      <c r="BA18" s="113">
        <f t="shared" si="10"/>
        <v>28</v>
      </c>
      <c r="BB18" s="116">
        <v>55000</v>
      </c>
      <c r="BC18" s="123">
        <f>DecReport[[#This Row],[SALARY]]/DecReport[[#This Row],[PAID DAYS]]</f>
        <v>1964.2857142857142</v>
      </c>
      <c r="BD18" s="119">
        <f>DecReport[[#This Row],[SALARY]]-DecReport[[#This Row],[ DEDUCTION]]</f>
        <v>53035.714285714283</v>
      </c>
      <c r="BE18" s="121"/>
      <c r="BF18" s="14"/>
      <c r="BG18" s="14"/>
      <c r="BH18" s="4"/>
      <c r="BI18" s="4"/>
      <c r="BJ18" s="4"/>
      <c r="BK18" s="4"/>
      <c r="BL18" s="4"/>
      <c r="BM18" s="4"/>
    </row>
    <row r="19" spans="4:65" ht="30" customHeight="1">
      <c r="D19" s="55"/>
      <c r="E19" s="56"/>
      <c r="F19" s="56"/>
      <c r="G19" s="6">
        <v>12</v>
      </c>
      <c r="H19" s="51">
        <v>1012</v>
      </c>
      <c r="I19" s="7" t="s">
        <v>12</v>
      </c>
      <c r="J19" s="6">
        <f t="shared" si="7"/>
        <v>4</v>
      </c>
      <c r="K19" s="51" t="s">
        <v>38</v>
      </c>
      <c r="L19" s="51" t="s">
        <v>38</v>
      </c>
      <c r="M19" s="51" t="s">
        <v>38</v>
      </c>
      <c r="N19" s="51" t="s">
        <v>38</v>
      </c>
      <c r="O19" s="51" t="str">
        <f t="shared" si="2"/>
        <v>Wo</v>
      </c>
      <c r="P19" s="51" t="s">
        <v>39</v>
      </c>
      <c r="Q19" s="51" t="s">
        <v>38</v>
      </c>
      <c r="R19" s="51" t="s">
        <v>40</v>
      </c>
      <c r="S19" s="51" t="s">
        <v>38</v>
      </c>
      <c r="T19" s="51" t="s">
        <v>39</v>
      </c>
      <c r="U19" s="51" t="s">
        <v>38</v>
      </c>
      <c r="V19" s="51" t="str">
        <f t="shared" si="2"/>
        <v>Wo</v>
      </c>
      <c r="W19" s="51" t="s">
        <v>38</v>
      </c>
      <c r="X19" s="51" t="s">
        <v>38</v>
      </c>
      <c r="Y19" s="51" t="s">
        <v>38</v>
      </c>
      <c r="Z19" s="51" t="s">
        <v>40</v>
      </c>
      <c r="AA19" s="51" t="s">
        <v>38</v>
      </c>
      <c r="AB19" s="51" t="s">
        <v>38</v>
      </c>
      <c r="AC19" s="51" t="str">
        <f t="shared" si="2"/>
        <v>Wo</v>
      </c>
      <c r="AD19" s="65" t="s">
        <v>38</v>
      </c>
      <c r="AE19" s="65" t="s">
        <v>38</v>
      </c>
      <c r="AF19" s="65" t="s">
        <v>40</v>
      </c>
      <c r="AG19" s="65" t="s">
        <v>38</v>
      </c>
      <c r="AH19" s="65" t="s">
        <v>38</v>
      </c>
      <c r="AI19" s="65" t="s">
        <v>38</v>
      </c>
      <c r="AJ19" s="65" t="str">
        <f t="shared" si="2"/>
        <v>Wo</v>
      </c>
      <c r="AK19" s="65" t="s">
        <v>38</v>
      </c>
      <c r="AL19" s="65" t="s">
        <v>38</v>
      </c>
      <c r="AM19" s="65" t="s">
        <v>38</v>
      </c>
      <c r="AN19" s="65" t="s">
        <v>40</v>
      </c>
      <c r="AO19" s="16" t="s">
        <v>38</v>
      </c>
      <c r="AP19" s="15"/>
      <c r="AQ19" s="13"/>
      <c r="AR19" s="7">
        <v>12</v>
      </c>
      <c r="AS19" s="107">
        <v>1012</v>
      </c>
      <c r="AT19" s="6" t="str">
        <f t="shared" si="3"/>
        <v>December</v>
      </c>
      <c r="AU19" s="6" t="s">
        <v>12</v>
      </c>
      <c r="AV19" s="110">
        <f t="shared" si="4"/>
        <v>21</v>
      </c>
      <c r="AW19" s="103">
        <f t="shared" si="5"/>
        <v>2</v>
      </c>
      <c r="AX19" s="103">
        <f t="shared" si="6"/>
        <v>4</v>
      </c>
      <c r="AY19" s="103">
        <f t="shared" si="8"/>
        <v>4</v>
      </c>
      <c r="AZ19" s="113">
        <f t="shared" si="9"/>
        <v>31</v>
      </c>
      <c r="BA19" s="113">
        <f t="shared" si="10"/>
        <v>29</v>
      </c>
      <c r="BB19" s="116">
        <v>65000</v>
      </c>
      <c r="BC19" s="123">
        <f>DecReport[[#This Row],[SALARY]]/DecReport[[#This Row],[PAID DAYS]]</f>
        <v>2241.3793103448274</v>
      </c>
      <c r="BD19" s="119">
        <f>DecReport[[#This Row],[SALARY]]-DecReport[[#This Row],[ DEDUCTION]]</f>
        <v>62758.620689655174</v>
      </c>
      <c r="BE19" s="121"/>
      <c r="BF19" s="14"/>
      <c r="BG19" s="14"/>
      <c r="BH19" s="4"/>
      <c r="BI19" s="4"/>
      <c r="BJ19" s="4"/>
      <c r="BK19" s="4"/>
      <c r="BL19" s="4"/>
      <c r="BM19" s="4"/>
    </row>
    <row r="20" spans="4:65" ht="30" customHeight="1">
      <c r="D20" s="55"/>
      <c r="E20" s="56"/>
      <c r="F20" s="56"/>
      <c r="G20" s="6">
        <v>13</v>
      </c>
      <c r="H20" s="51">
        <v>1013</v>
      </c>
      <c r="I20" s="7" t="s">
        <v>13</v>
      </c>
      <c r="J20" s="6">
        <f t="shared" si="7"/>
        <v>4</v>
      </c>
      <c r="K20" s="51" t="s">
        <v>38</v>
      </c>
      <c r="L20" s="51" t="s">
        <v>38</v>
      </c>
      <c r="M20" s="51" t="s">
        <v>38</v>
      </c>
      <c r="N20" s="51" t="s">
        <v>38</v>
      </c>
      <c r="O20" s="51" t="str">
        <f t="shared" si="2"/>
        <v>Wo</v>
      </c>
      <c r="P20" s="51" t="s">
        <v>38</v>
      </c>
      <c r="Q20" s="51" t="s">
        <v>38</v>
      </c>
      <c r="R20" s="51" t="s">
        <v>40</v>
      </c>
      <c r="S20" s="51" t="s">
        <v>38</v>
      </c>
      <c r="T20" s="51" t="s">
        <v>38</v>
      </c>
      <c r="U20" s="51" t="s">
        <v>38</v>
      </c>
      <c r="V20" s="51" t="str">
        <f t="shared" si="2"/>
        <v>Wo</v>
      </c>
      <c r="W20" s="51" t="s">
        <v>38</v>
      </c>
      <c r="X20" s="51" t="s">
        <v>38</v>
      </c>
      <c r="Y20" s="51" t="s">
        <v>38</v>
      </c>
      <c r="Z20" s="51" t="s">
        <v>40</v>
      </c>
      <c r="AA20" s="51" t="s">
        <v>38</v>
      </c>
      <c r="AB20" s="51" t="s">
        <v>38</v>
      </c>
      <c r="AC20" s="51" t="str">
        <f t="shared" si="2"/>
        <v>Wo</v>
      </c>
      <c r="AD20" s="65" t="s">
        <v>38</v>
      </c>
      <c r="AE20" s="65" t="s">
        <v>38</v>
      </c>
      <c r="AF20" s="65" t="s">
        <v>40</v>
      </c>
      <c r="AG20" s="65" t="s">
        <v>38</v>
      </c>
      <c r="AH20" s="65" t="s">
        <v>38</v>
      </c>
      <c r="AI20" s="65" t="s">
        <v>38</v>
      </c>
      <c r="AJ20" s="65" t="str">
        <f t="shared" si="2"/>
        <v>Wo</v>
      </c>
      <c r="AK20" s="65" t="s">
        <v>38</v>
      </c>
      <c r="AL20" s="65" t="s">
        <v>38</v>
      </c>
      <c r="AM20" s="65" t="s">
        <v>38</v>
      </c>
      <c r="AN20" s="65" t="s">
        <v>40</v>
      </c>
      <c r="AO20" s="16" t="s">
        <v>38</v>
      </c>
      <c r="AP20" s="15"/>
      <c r="AQ20" s="13"/>
      <c r="AR20" s="7">
        <v>13</v>
      </c>
      <c r="AS20" s="107">
        <v>1013</v>
      </c>
      <c r="AT20" s="6" t="str">
        <f t="shared" si="3"/>
        <v>December</v>
      </c>
      <c r="AU20" s="6" t="s">
        <v>13</v>
      </c>
      <c r="AV20" s="110">
        <f t="shared" si="4"/>
        <v>23</v>
      </c>
      <c r="AW20" s="103">
        <f t="shared" si="5"/>
        <v>0</v>
      </c>
      <c r="AX20" s="103">
        <f t="shared" si="6"/>
        <v>4</v>
      </c>
      <c r="AY20" s="103">
        <f t="shared" si="8"/>
        <v>4</v>
      </c>
      <c r="AZ20" s="113">
        <f t="shared" si="9"/>
        <v>31</v>
      </c>
      <c r="BA20" s="113">
        <f t="shared" si="10"/>
        <v>31</v>
      </c>
      <c r="BB20" s="116">
        <v>68000</v>
      </c>
      <c r="BC20" s="123">
        <f>DecReport[[#This Row],[SALARY]]/DecReport[[#This Row],[PAID DAYS]]</f>
        <v>2193.5483870967741</v>
      </c>
      <c r="BD20" s="119">
        <f>DecReport[[#This Row],[SALARY]]-DecReport[[#This Row],[ DEDUCTION]]</f>
        <v>65806.451612903227</v>
      </c>
      <c r="BE20" s="121"/>
      <c r="BF20" s="14"/>
      <c r="BG20" s="14"/>
      <c r="BH20" s="4"/>
      <c r="BI20" s="4"/>
      <c r="BJ20" s="4"/>
      <c r="BK20" s="4"/>
      <c r="BL20" s="4"/>
      <c r="BM20" s="4"/>
    </row>
    <row r="21" spans="4:65" ht="30" customHeight="1">
      <c r="D21" s="55"/>
      <c r="E21" s="56"/>
      <c r="F21" s="56"/>
      <c r="G21" s="6">
        <v>14</v>
      </c>
      <c r="H21" s="51">
        <v>1014</v>
      </c>
      <c r="I21" s="7" t="s">
        <v>14</v>
      </c>
      <c r="J21" s="6">
        <f t="shared" si="7"/>
        <v>4</v>
      </c>
      <c r="K21" s="51" t="s">
        <v>38</v>
      </c>
      <c r="L21" s="51" t="s">
        <v>38</v>
      </c>
      <c r="M21" s="51" t="s">
        <v>38</v>
      </c>
      <c r="N21" s="51" t="s">
        <v>38</v>
      </c>
      <c r="O21" s="51" t="str">
        <f t="shared" si="2"/>
        <v>Wo</v>
      </c>
      <c r="P21" s="51" t="s">
        <v>38</v>
      </c>
      <c r="Q21" s="51" t="s">
        <v>38</v>
      </c>
      <c r="R21" s="51" t="s">
        <v>40</v>
      </c>
      <c r="S21" s="51" t="s">
        <v>38</v>
      </c>
      <c r="T21" s="51" t="s">
        <v>38</v>
      </c>
      <c r="U21" s="51" t="s">
        <v>38</v>
      </c>
      <c r="V21" s="51" t="str">
        <f t="shared" si="2"/>
        <v>Wo</v>
      </c>
      <c r="W21" s="51" t="s">
        <v>38</v>
      </c>
      <c r="X21" s="51" t="s">
        <v>38</v>
      </c>
      <c r="Y21" s="51" t="s">
        <v>38</v>
      </c>
      <c r="Z21" s="51" t="s">
        <v>40</v>
      </c>
      <c r="AA21" s="51" t="s">
        <v>38</v>
      </c>
      <c r="AB21" s="51" t="s">
        <v>38</v>
      </c>
      <c r="AC21" s="51" t="str">
        <f t="shared" si="2"/>
        <v>Wo</v>
      </c>
      <c r="AD21" s="65" t="s">
        <v>38</v>
      </c>
      <c r="AE21" s="65" t="s">
        <v>38</v>
      </c>
      <c r="AF21" s="65" t="s">
        <v>40</v>
      </c>
      <c r="AG21" s="65" t="s">
        <v>38</v>
      </c>
      <c r="AH21" s="65" t="s">
        <v>38</v>
      </c>
      <c r="AI21" s="65" t="s">
        <v>39</v>
      </c>
      <c r="AJ21" s="65" t="str">
        <f t="shared" si="2"/>
        <v>Wo</v>
      </c>
      <c r="AK21" s="65" t="s">
        <v>38</v>
      </c>
      <c r="AL21" s="65" t="s">
        <v>38</v>
      </c>
      <c r="AM21" s="65" t="s">
        <v>38</v>
      </c>
      <c r="AN21" s="65" t="s">
        <v>40</v>
      </c>
      <c r="AO21" s="16" t="s">
        <v>38</v>
      </c>
      <c r="AP21" s="15"/>
      <c r="AQ21" s="13"/>
      <c r="AR21" s="7">
        <v>14</v>
      </c>
      <c r="AS21" s="107">
        <v>1014</v>
      </c>
      <c r="AT21" s="6" t="str">
        <f t="shared" si="3"/>
        <v>December</v>
      </c>
      <c r="AU21" s="6" t="s">
        <v>14</v>
      </c>
      <c r="AV21" s="110">
        <f t="shared" si="4"/>
        <v>22</v>
      </c>
      <c r="AW21" s="103">
        <f t="shared" si="5"/>
        <v>1</v>
      </c>
      <c r="AX21" s="103">
        <f t="shared" si="6"/>
        <v>4</v>
      </c>
      <c r="AY21" s="103">
        <f t="shared" si="8"/>
        <v>4</v>
      </c>
      <c r="AZ21" s="113">
        <f t="shared" si="9"/>
        <v>31</v>
      </c>
      <c r="BA21" s="113">
        <f t="shared" si="10"/>
        <v>30</v>
      </c>
      <c r="BB21" s="116">
        <v>72000</v>
      </c>
      <c r="BC21" s="123">
        <f>DecReport[[#This Row],[SALARY]]/DecReport[[#This Row],[PAID DAYS]]</f>
        <v>2400</v>
      </c>
      <c r="BD21" s="119">
        <f>DecReport[[#This Row],[SALARY]]-DecReport[[#This Row],[ DEDUCTION]]</f>
        <v>69600</v>
      </c>
      <c r="BE21" s="121"/>
      <c r="BF21" s="14"/>
      <c r="BG21" s="14"/>
      <c r="BH21" s="4"/>
      <c r="BI21" s="4"/>
      <c r="BJ21" s="4"/>
      <c r="BK21" s="4"/>
      <c r="BL21" s="4"/>
      <c r="BM21" s="4"/>
    </row>
    <row r="22" spans="4:65" ht="30" customHeight="1">
      <c r="D22" s="55"/>
      <c r="E22" s="56"/>
      <c r="F22" s="56"/>
      <c r="G22" s="6">
        <v>15</v>
      </c>
      <c r="H22" s="51">
        <v>1015</v>
      </c>
      <c r="I22" s="7" t="s">
        <v>15</v>
      </c>
      <c r="J22" s="6">
        <f t="shared" si="7"/>
        <v>4</v>
      </c>
      <c r="K22" s="51" t="s">
        <v>38</v>
      </c>
      <c r="L22" s="51" t="s">
        <v>38</v>
      </c>
      <c r="M22" s="51" t="s">
        <v>38</v>
      </c>
      <c r="N22" s="51" t="s">
        <v>38</v>
      </c>
      <c r="O22" s="51" t="str">
        <f t="shared" si="2"/>
        <v>Wo</v>
      </c>
      <c r="P22" s="51" t="s">
        <v>38</v>
      </c>
      <c r="Q22" s="51" t="s">
        <v>38</v>
      </c>
      <c r="R22" s="51" t="s">
        <v>40</v>
      </c>
      <c r="S22" s="51" t="s">
        <v>38</v>
      </c>
      <c r="T22" s="51" t="s">
        <v>38</v>
      </c>
      <c r="U22" s="51" t="s">
        <v>38</v>
      </c>
      <c r="V22" s="51" t="str">
        <f t="shared" si="2"/>
        <v>Wo</v>
      </c>
      <c r="W22" s="51" t="s">
        <v>38</v>
      </c>
      <c r="X22" s="51" t="s">
        <v>38</v>
      </c>
      <c r="Y22" s="51" t="s">
        <v>38</v>
      </c>
      <c r="Z22" s="51" t="s">
        <v>40</v>
      </c>
      <c r="AA22" s="51" t="s">
        <v>38</v>
      </c>
      <c r="AB22" s="51" t="s">
        <v>38</v>
      </c>
      <c r="AC22" s="51" t="str">
        <f t="shared" si="2"/>
        <v>Wo</v>
      </c>
      <c r="AD22" s="65" t="s">
        <v>38</v>
      </c>
      <c r="AE22" s="65" t="s">
        <v>38</v>
      </c>
      <c r="AF22" s="65" t="s">
        <v>40</v>
      </c>
      <c r="AG22" s="65" t="s">
        <v>38</v>
      </c>
      <c r="AH22" s="65" t="s">
        <v>38</v>
      </c>
      <c r="AI22" s="65" t="s">
        <v>38</v>
      </c>
      <c r="AJ22" s="65" t="str">
        <f t="shared" si="2"/>
        <v>Wo</v>
      </c>
      <c r="AK22" s="65" t="s">
        <v>38</v>
      </c>
      <c r="AL22" s="65" t="s">
        <v>38</v>
      </c>
      <c r="AM22" s="65" t="s">
        <v>38</v>
      </c>
      <c r="AN22" s="65" t="s">
        <v>40</v>
      </c>
      <c r="AO22" s="16" t="s">
        <v>38</v>
      </c>
      <c r="AP22" s="15"/>
      <c r="AQ22" s="13"/>
      <c r="AR22" s="7">
        <v>15</v>
      </c>
      <c r="AS22" s="107">
        <v>1015</v>
      </c>
      <c r="AT22" s="6" t="str">
        <f t="shared" si="3"/>
        <v>December</v>
      </c>
      <c r="AU22" s="6" t="s">
        <v>15</v>
      </c>
      <c r="AV22" s="110">
        <f t="shared" si="4"/>
        <v>23</v>
      </c>
      <c r="AW22" s="103">
        <f t="shared" si="5"/>
        <v>0</v>
      </c>
      <c r="AX22" s="103">
        <f t="shared" si="6"/>
        <v>4</v>
      </c>
      <c r="AY22" s="103">
        <f t="shared" si="8"/>
        <v>4</v>
      </c>
      <c r="AZ22" s="113">
        <f t="shared" si="9"/>
        <v>31</v>
      </c>
      <c r="BA22" s="113">
        <f t="shared" si="10"/>
        <v>31</v>
      </c>
      <c r="BB22" s="116">
        <v>20000</v>
      </c>
      <c r="BC22" s="123">
        <f>DecReport[[#This Row],[SALARY]]/DecReport[[#This Row],[PAID DAYS]]</f>
        <v>645.16129032258061</v>
      </c>
      <c r="BD22" s="119">
        <f>DecReport[[#This Row],[SALARY]]-DecReport[[#This Row],[ DEDUCTION]]</f>
        <v>19354.83870967742</v>
      </c>
      <c r="BE22" s="121"/>
      <c r="BF22" s="14"/>
      <c r="BG22" s="14"/>
      <c r="BH22" s="4"/>
      <c r="BI22" s="4"/>
      <c r="BJ22" s="4"/>
      <c r="BK22" s="4"/>
      <c r="BL22" s="4"/>
      <c r="BM22" s="4"/>
    </row>
    <row r="23" spans="4:65" ht="30" customHeight="1">
      <c r="D23" s="55"/>
      <c r="E23" s="56"/>
      <c r="F23" s="56"/>
      <c r="G23" s="6">
        <v>16</v>
      </c>
      <c r="H23" s="51">
        <v>1016</v>
      </c>
      <c r="I23" s="7" t="s">
        <v>16</v>
      </c>
      <c r="J23" s="6">
        <f t="shared" si="7"/>
        <v>4</v>
      </c>
      <c r="K23" s="51" t="s">
        <v>38</v>
      </c>
      <c r="L23" s="51" t="s">
        <v>38</v>
      </c>
      <c r="M23" s="51" t="s">
        <v>38</v>
      </c>
      <c r="N23" s="51" t="s">
        <v>38</v>
      </c>
      <c r="O23" s="51" t="str">
        <f t="shared" si="2"/>
        <v>Wo</v>
      </c>
      <c r="P23" s="51" t="s">
        <v>38</v>
      </c>
      <c r="Q23" s="51" t="s">
        <v>38</v>
      </c>
      <c r="R23" s="51" t="s">
        <v>40</v>
      </c>
      <c r="S23" s="51" t="s">
        <v>38</v>
      </c>
      <c r="T23" s="51" t="s">
        <v>38</v>
      </c>
      <c r="U23" s="51" t="s">
        <v>38</v>
      </c>
      <c r="V23" s="51" t="str">
        <f t="shared" si="2"/>
        <v>Wo</v>
      </c>
      <c r="W23" s="51" t="s">
        <v>38</v>
      </c>
      <c r="X23" s="51" t="s">
        <v>38</v>
      </c>
      <c r="Y23" s="51" t="s">
        <v>39</v>
      </c>
      <c r="Z23" s="51" t="s">
        <v>40</v>
      </c>
      <c r="AA23" s="51" t="s">
        <v>38</v>
      </c>
      <c r="AB23" s="51" t="s">
        <v>38</v>
      </c>
      <c r="AC23" s="51" t="str">
        <f t="shared" si="2"/>
        <v>Wo</v>
      </c>
      <c r="AD23" s="65" t="s">
        <v>38</v>
      </c>
      <c r="AE23" s="65" t="s">
        <v>38</v>
      </c>
      <c r="AF23" s="65" t="s">
        <v>40</v>
      </c>
      <c r="AG23" s="65" t="s">
        <v>38</v>
      </c>
      <c r="AH23" s="65" t="s">
        <v>38</v>
      </c>
      <c r="AI23" s="65" t="s">
        <v>38</v>
      </c>
      <c r="AJ23" s="65" t="str">
        <f t="shared" si="2"/>
        <v>Wo</v>
      </c>
      <c r="AK23" s="65" t="s">
        <v>38</v>
      </c>
      <c r="AL23" s="65" t="s">
        <v>38</v>
      </c>
      <c r="AM23" s="65" t="s">
        <v>38</v>
      </c>
      <c r="AN23" s="65" t="s">
        <v>40</v>
      </c>
      <c r="AO23" s="16" t="s">
        <v>38</v>
      </c>
      <c r="AP23" s="15"/>
      <c r="AQ23" s="13"/>
      <c r="AR23" s="7">
        <v>16</v>
      </c>
      <c r="AS23" s="107">
        <v>1016</v>
      </c>
      <c r="AT23" s="6" t="str">
        <f t="shared" si="3"/>
        <v>December</v>
      </c>
      <c r="AU23" s="6" t="s">
        <v>16</v>
      </c>
      <c r="AV23" s="110">
        <f t="shared" si="4"/>
        <v>22</v>
      </c>
      <c r="AW23" s="103">
        <f t="shared" si="5"/>
        <v>1</v>
      </c>
      <c r="AX23" s="103">
        <f t="shared" si="6"/>
        <v>4</v>
      </c>
      <c r="AY23" s="103">
        <f t="shared" si="8"/>
        <v>4</v>
      </c>
      <c r="AZ23" s="113">
        <f t="shared" si="9"/>
        <v>31</v>
      </c>
      <c r="BA23" s="113">
        <f t="shared" si="10"/>
        <v>30</v>
      </c>
      <c r="BB23" s="116">
        <v>56000</v>
      </c>
      <c r="BC23" s="123">
        <f>DecReport[[#This Row],[SALARY]]/DecReport[[#This Row],[PAID DAYS]]</f>
        <v>1866.6666666666667</v>
      </c>
      <c r="BD23" s="119">
        <f>DecReport[[#This Row],[SALARY]]-DecReport[[#This Row],[ DEDUCTION]]</f>
        <v>54133.333333333336</v>
      </c>
      <c r="BE23" s="121"/>
      <c r="BF23" s="14"/>
      <c r="BG23" s="14"/>
      <c r="BH23" s="4"/>
      <c r="BI23" s="4"/>
      <c r="BJ23" s="4"/>
      <c r="BK23" s="4"/>
      <c r="BL23" s="4"/>
      <c r="BM23" s="4"/>
    </row>
    <row r="24" spans="4:65" ht="30" customHeight="1">
      <c r="D24" s="55"/>
      <c r="E24" s="56"/>
      <c r="F24" s="56"/>
      <c r="G24" s="6">
        <v>17</v>
      </c>
      <c r="H24" s="51">
        <v>1017</v>
      </c>
      <c r="I24" s="7" t="s">
        <v>17</v>
      </c>
      <c r="J24" s="6">
        <f t="shared" si="7"/>
        <v>4</v>
      </c>
      <c r="K24" s="51" t="s">
        <v>38</v>
      </c>
      <c r="L24" s="51" t="s">
        <v>38</v>
      </c>
      <c r="M24" s="51" t="s">
        <v>38</v>
      </c>
      <c r="N24" s="51" t="s">
        <v>38</v>
      </c>
      <c r="O24" s="51" t="str">
        <f t="shared" ref="O24:V27" si="11">IF(O$6="sun","Wo"," ")</f>
        <v>Wo</v>
      </c>
      <c r="P24" s="51" t="s">
        <v>38</v>
      </c>
      <c r="Q24" s="51" t="s">
        <v>38</v>
      </c>
      <c r="R24" s="51" t="s">
        <v>40</v>
      </c>
      <c r="S24" s="51" t="s">
        <v>38</v>
      </c>
      <c r="T24" s="51" t="s">
        <v>38</v>
      </c>
      <c r="U24" s="51" t="s">
        <v>38</v>
      </c>
      <c r="V24" s="51" t="str">
        <f t="shared" si="11"/>
        <v>Wo</v>
      </c>
      <c r="W24" s="51" t="s">
        <v>39</v>
      </c>
      <c r="X24" s="51" t="s">
        <v>38</v>
      </c>
      <c r="Y24" s="51" t="s">
        <v>38</v>
      </c>
      <c r="Z24" s="51" t="s">
        <v>40</v>
      </c>
      <c r="AA24" s="51" t="s">
        <v>38</v>
      </c>
      <c r="AB24" s="51" t="s">
        <v>38</v>
      </c>
      <c r="AC24" s="51" t="str">
        <f t="shared" ref="AC24:AJ27" si="12">IF(AC$6="sun","Wo"," ")</f>
        <v>Wo</v>
      </c>
      <c r="AD24" s="65" t="s">
        <v>38</v>
      </c>
      <c r="AE24" s="65" t="s">
        <v>38</v>
      </c>
      <c r="AF24" s="65" t="s">
        <v>40</v>
      </c>
      <c r="AG24" s="65" t="s">
        <v>38</v>
      </c>
      <c r="AH24" s="65" t="s">
        <v>38</v>
      </c>
      <c r="AI24" s="65" t="s">
        <v>38</v>
      </c>
      <c r="AJ24" s="65" t="str">
        <f t="shared" si="12"/>
        <v>Wo</v>
      </c>
      <c r="AK24" s="65" t="s">
        <v>38</v>
      </c>
      <c r="AL24" s="65" t="s">
        <v>38</v>
      </c>
      <c r="AM24" s="65" t="s">
        <v>38</v>
      </c>
      <c r="AN24" s="65" t="s">
        <v>40</v>
      </c>
      <c r="AO24" s="16" t="s">
        <v>38</v>
      </c>
      <c r="AP24" s="15"/>
      <c r="AQ24" s="13"/>
      <c r="AR24" s="7">
        <v>17</v>
      </c>
      <c r="AS24" s="107">
        <v>1017</v>
      </c>
      <c r="AT24" s="6" t="str">
        <f t="shared" si="3"/>
        <v>December</v>
      </c>
      <c r="AU24" s="6" t="s">
        <v>17</v>
      </c>
      <c r="AV24" s="110">
        <f t="shared" si="4"/>
        <v>22</v>
      </c>
      <c r="AW24" s="103">
        <f t="shared" si="5"/>
        <v>1</v>
      </c>
      <c r="AX24" s="103">
        <f t="shared" si="6"/>
        <v>4</v>
      </c>
      <c r="AY24" s="103">
        <f t="shared" si="8"/>
        <v>4</v>
      </c>
      <c r="AZ24" s="113">
        <f t="shared" si="9"/>
        <v>31</v>
      </c>
      <c r="BA24" s="113">
        <f t="shared" si="10"/>
        <v>30</v>
      </c>
      <c r="BB24" s="116">
        <v>35000</v>
      </c>
      <c r="BC24" s="123">
        <f>DecReport[[#This Row],[SALARY]]/DecReport[[#This Row],[PAID DAYS]]</f>
        <v>1166.6666666666667</v>
      </c>
      <c r="BD24" s="119">
        <f>DecReport[[#This Row],[SALARY]]-DecReport[[#This Row],[ DEDUCTION]]</f>
        <v>33833.333333333336</v>
      </c>
      <c r="BE24" s="121"/>
      <c r="BF24" s="14"/>
      <c r="BG24" s="14"/>
      <c r="BH24" s="4"/>
      <c r="BI24" s="4"/>
      <c r="BJ24" s="4"/>
      <c r="BK24" s="4"/>
      <c r="BL24" s="4"/>
      <c r="BM24" s="4"/>
    </row>
    <row r="25" spans="4:65" ht="30" customHeight="1">
      <c r="D25" s="55"/>
      <c r="E25" s="56"/>
      <c r="F25" s="56"/>
      <c r="G25" s="6">
        <v>18</v>
      </c>
      <c r="H25" s="51">
        <v>1018</v>
      </c>
      <c r="I25" s="7" t="s">
        <v>18</v>
      </c>
      <c r="J25" s="6">
        <f t="shared" si="7"/>
        <v>4</v>
      </c>
      <c r="K25" s="51" t="s">
        <v>38</v>
      </c>
      <c r="L25" s="51" t="s">
        <v>38</v>
      </c>
      <c r="M25" s="51" t="s">
        <v>38</v>
      </c>
      <c r="N25" s="51" t="s">
        <v>38</v>
      </c>
      <c r="O25" s="51" t="str">
        <f t="shared" si="11"/>
        <v>Wo</v>
      </c>
      <c r="P25" s="51" t="s">
        <v>38</v>
      </c>
      <c r="Q25" s="51" t="s">
        <v>38</v>
      </c>
      <c r="R25" s="51" t="s">
        <v>40</v>
      </c>
      <c r="S25" s="51" t="s">
        <v>38</v>
      </c>
      <c r="T25" s="51" t="s">
        <v>38</v>
      </c>
      <c r="U25" s="51" t="s">
        <v>38</v>
      </c>
      <c r="V25" s="51" t="str">
        <f t="shared" si="11"/>
        <v>Wo</v>
      </c>
      <c r="W25" s="51" t="s">
        <v>38</v>
      </c>
      <c r="X25" s="51" t="s">
        <v>38</v>
      </c>
      <c r="Y25" s="51" t="s">
        <v>38</v>
      </c>
      <c r="Z25" s="51" t="s">
        <v>40</v>
      </c>
      <c r="AA25" s="51" t="s">
        <v>38</v>
      </c>
      <c r="AB25" s="51" t="s">
        <v>38</v>
      </c>
      <c r="AC25" s="51" t="str">
        <f t="shared" si="12"/>
        <v>Wo</v>
      </c>
      <c r="AD25" s="65" t="s">
        <v>38</v>
      </c>
      <c r="AE25" s="65" t="s">
        <v>38</v>
      </c>
      <c r="AF25" s="65" t="s">
        <v>40</v>
      </c>
      <c r="AG25" s="65" t="s">
        <v>38</v>
      </c>
      <c r="AH25" s="65" t="s">
        <v>38</v>
      </c>
      <c r="AI25" s="65" t="s">
        <v>38</v>
      </c>
      <c r="AJ25" s="65" t="str">
        <f t="shared" si="12"/>
        <v>Wo</v>
      </c>
      <c r="AK25" s="65" t="s">
        <v>38</v>
      </c>
      <c r="AL25" s="65" t="s">
        <v>38</v>
      </c>
      <c r="AM25" s="65" t="s">
        <v>38</v>
      </c>
      <c r="AN25" s="65" t="s">
        <v>40</v>
      </c>
      <c r="AO25" s="16" t="s">
        <v>38</v>
      </c>
      <c r="AP25" s="15"/>
      <c r="AQ25" s="13"/>
      <c r="AR25" s="7">
        <v>18</v>
      </c>
      <c r="AS25" s="107">
        <v>1018</v>
      </c>
      <c r="AT25" s="6" t="str">
        <f t="shared" si="3"/>
        <v>December</v>
      </c>
      <c r="AU25" s="6" t="s">
        <v>18</v>
      </c>
      <c r="AV25" s="110">
        <f t="shared" si="4"/>
        <v>23</v>
      </c>
      <c r="AW25" s="103">
        <f t="shared" si="5"/>
        <v>0</v>
      </c>
      <c r="AX25" s="103">
        <f t="shared" si="6"/>
        <v>4</v>
      </c>
      <c r="AY25" s="103">
        <f t="shared" si="8"/>
        <v>4</v>
      </c>
      <c r="AZ25" s="113">
        <f t="shared" si="9"/>
        <v>31</v>
      </c>
      <c r="BA25" s="113">
        <f t="shared" si="10"/>
        <v>31</v>
      </c>
      <c r="BB25" s="116">
        <v>12000</v>
      </c>
      <c r="BC25" s="123">
        <f>DecReport[[#This Row],[SALARY]]/DecReport[[#This Row],[PAID DAYS]]</f>
        <v>387.09677419354841</v>
      </c>
      <c r="BD25" s="119">
        <f>DecReport[[#This Row],[SALARY]]-DecReport[[#This Row],[ DEDUCTION]]</f>
        <v>11612.903225806451</v>
      </c>
      <c r="BE25" s="121"/>
      <c r="BF25" s="14"/>
      <c r="BG25" s="14"/>
      <c r="BH25" s="4"/>
      <c r="BI25" s="4"/>
      <c r="BJ25" s="4"/>
      <c r="BK25" s="4"/>
      <c r="BL25" s="4"/>
      <c r="BM25" s="4"/>
    </row>
    <row r="26" spans="4:65" ht="30" customHeight="1">
      <c r="D26" s="55"/>
      <c r="E26" s="56"/>
      <c r="F26" s="56"/>
      <c r="G26" s="6">
        <v>19</v>
      </c>
      <c r="H26" s="51">
        <v>1019</v>
      </c>
      <c r="I26" s="7" t="s">
        <v>19</v>
      </c>
      <c r="J26" s="6">
        <f t="shared" si="7"/>
        <v>4</v>
      </c>
      <c r="K26" s="51" t="s">
        <v>38</v>
      </c>
      <c r="L26" s="51" t="s">
        <v>38</v>
      </c>
      <c r="M26" s="51" t="s">
        <v>38</v>
      </c>
      <c r="N26" s="51" t="s">
        <v>38</v>
      </c>
      <c r="O26" s="51" t="str">
        <f t="shared" si="11"/>
        <v>Wo</v>
      </c>
      <c r="P26" s="51" t="s">
        <v>38</v>
      </c>
      <c r="Q26" s="51" t="s">
        <v>38</v>
      </c>
      <c r="R26" s="51" t="s">
        <v>40</v>
      </c>
      <c r="S26" s="51" t="s">
        <v>38</v>
      </c>
      <c r="T26" s="51" t="s">
        <v>38</v>
      </c>
      <c r="U26" s="51" t="s">
        <v>38</v>
      </c>
      <c r="V26" s="51" t="str">
        <f t="shared" si="11"/>
        <v>Wo</v>
      </c>
      <c r="W26" s="51" t="s">
        <v>38</v>
      </c>
      <c r="X26" s="51" t="s">
        <v>38</v>
      </c>
      <c r="Y26" s="51" t="s">
        <v>38</v>
      </c>
      <c r="Z26" s="51" t="s">
        <v>40</v>
      </c>
      <c r="AA26" s="51" t="s">
        <v>38</v>
      </c>
      <c r="AB26" s="51" t="s">
        <v>38</v>
      </c>
      <c r="AC26" s="51" t="str">
        <f t="shared" si="12"/>
        <v>Wo</v>
      </c>
      <c r="AD26" s="65" t="s">
        <v>38</v>
      </c>
      <c r="AE26" s="65" t="s">
        <v>38</v>
      </c>
      <c r="AF26" s="65" t="s">
        <v>40</v>
      </c>
      <c r="AG26" s="65" t="s">
        <v>38</v>
      </c>
      <c r="AH26" s="65" t="s">
        <v>38</v>
      </c>
      <c r="AI26" s="65" t="s">
        <v>38</v>
      </c>
      <c r="AJ26" s="65" t="str">
        <f t="shared" si="12"/>
        <v>Wo</v>
      </c>
      <c r="AK26" s="65" t="s">
        <v>38</v>
      </c>
      <c r="AL26" s="65" t="s">
        <v>38</v>
      </c>
      <c r="AM26" s="65" t="s">
        <v>38</v>
      </c>
      <c r="AN26" s="65" t="s">
        <v>40</v>
      </c>
      <c r="AO26" s="16" t="s">
        <v>38</v>
      </c>
      <c r="AP26" s="15"/>
      <c r="AQ26" s="13"/>
      <c r="AR26" s="7">
        <v>19</v>
      </c>
      <c r="AS26" s="107">
        <v>1019</v>
      </c>
      <c r="AT26" s="6" t="str">
        <f t="shared" si="3"/>
        <v>December</v>
      </c>
      <c r="AU26" s="6" t="s">
        <v>19</v>
      </c>
      <c r="AV26" s="110">
        <f t="shared" si="4"/>
        <v>23</v>
      </c>
      <c r="AW26" s="103">
        <f t="shared" si="5"/>
        <v>0</v>
      </c>
      <c r="AX26" s="103">
        <f t="shared" si="6"/>
        <v>4</v>
      </c>
      <c r="AY26" s="103">
        <f t="shared" si="8"/>
        <v>4</v>
      </c>
      <c r="AZ26" s="113">
        <f t="shared" si="9"/>
        <v>31</v>
      </c>
      <c r="BA26" s="113">
        <f t="shared" si="10"/>
        <v>31</v>
      </c>
      <c r="BB26" s="116">
        <v>19000</v>
      </c>
      <c r="BC26" s="123">
        <f>DecReport[[#This Row],[SALARY]]/DecReport[[#This Row],[PAID DAYS]]</f>
        <v>612.90322580645159</v>
      </c>
      <c r="BD26" s="119">
        <f>DecReport[[#This Row],[SALARY]]-DecReport[[#This Row],[ DEDUCTION]]</f>
        <v>18387.096774193549</v>
      </c>
      <c r="BE26" s="121"/>
      <c r="BF26" s="14"/>
      <c r="BG26" s="14"/>
      <c r="BH26" s="4"/>
      <c r="BI26" s="4"/>
      <c r="BJ26" s="4"/>
      <c r="BK26" s="4"/>
      <c r="BL26" s="4"/>
      <c r="BM26" s="4"/>
    </row>
    <row r="27" spans="4:65" ht="30" customHeight="1" thickBot="1">
      <c r="D27" s="55"/>
      <c r="E27" s="56"/>
      <c r="F27" s="56"/>
      <c r="G27" s="8">
        <v>20</v>
      </c>
      <c r="H27" s="9">
        <v>1020</v>
      </c>
      <c r="I27" s="10" t="s">
        <v>20</v>
      </c>
      <c r="J27" s="8">
        <f t="shared" si="7"/>
        <v>4</v>
      </c>
      <c r="K27" s="51" t="s">
        <v>38</v>
      </c>
      <c r="L27" s="51" t="s">
        <v>38</v>
      </c>
      <c r="M27" s="51" t="s">
        <v>38</v>
      </c>
      <c r="N27" s="51" t="s">
        <v>38</v>
      </c>
      <c r="O27" s="9" t="str">
        <f t="shared" si="11"/>
        <v>Wo</v>
      </c>
      <c r="P27" s="51" t="s">
        <v>38</v>
      </c>
      <c r="Q27" s="51" t="s">
        <v>38</v>
      </c>
      <c r="R27" s="51" t="s">
        <v>40</v>
      </c>
      <c r="S27" s="51" t="s">
        <v>38</v>
      </c>
      <c r="T27" s="51" t="s">
        <v>38</v>
      </c>
      <c r="U27" s="51" t="s">
        <v>38</v>
      </c>
      <c r="V27" s="9" t="str">
        <f t="shared" si="11"/>
        <v>Wo</v>
      </c>
      <c r="W27" s="51" t="s">
        <v>38</v>
      </c>
      <c r="X27" s="51" t="s">
        <v>38</v>
      </c>
      <c r="Y27" s="51" t="s">
        <v>38</v>
      </c>
      <c r="Z27" s="51" t="s">
        <v>40</v>
      </c>
      <c r="AA27" s="51" t="s">
        <v>38</v>
      </c>
      <c r="AB27" s="51" t="s">
        <v>38</v>
      </c>
      <c r="AC27" s="9" t="str">
        <f t="shared" si="12"/>
        <v>Wo</v>
      </c>
      <c r="AD27" s="65" t="s">
        <v>38</v>
      </c>
      <c r="AE27" s="65" t="s">
        <v>38</v>
      </c>
      <c r="AF27" s="65" t="s">
        <v>40</v>
      </c>
      <c r="AG27" s="65" t="s">
        <v>38</v>
      </c>
      <c r="AH27" s="65" t="s">
        <v>38</v>
      </c>
      <c r="AI27" s="65" t="s">
        <v>38</v>
      </c>
      <c r="AJ27" s="17" t="str">
        <f t="shared" si="12"/>
        <v>Wo</v>
      </c>
      <c r="AK27" s="65" t="s">
        <v>38</v>
      </c>
      <c r="AL27" s="65" t="s">
        <v>38</v>
      </c>
      <c r="AM27" s="65" t="s">
        <v>38</v>
      </c>
      <c r="AN27" s="65" t="s">
        <v>40</v>
      </c>
      <c r="AO27" s="16" t="s">
        <v>38</v>
      </c>
      <c r="AP27" s="15"/>
      <c r="AQ27" s="13"/>
      <c r="AR27" s="7">
        <v>20</v>
      </c>
      <c r="AS27" s="107">
        <v>1020</v>
      </c>
      <c r="AT27" s="6" t="str">
        <f t="shared" si="3"/>
        <v>December</v>
      </c>
      <c r="AU27" s="6" t="s">
        <v>20</v>
      </c>
      <c r="AV27" s="111">
        <f t="shared" si="4"/>
        <v>23</v>
      </c>
      <c r="AW27" s="105">
        <f t="shared" si="5"/>
        <v>0</v>
      </c>
      <c r="AX27" s="105">
        <f t="shared" si="6"/>
        <v>4</v>
      </c>
      <c r="AY27" s="103">
        <f t="shared" si="8"/>
        <v>4</v>
      </c>
      <c r="AZ27" s="113">
        <f t="shared" si="9"/>
        <v>31</v>
      </c>
      <c r="BA27" s="113">
        <f t="shared" si="10"/>
        <v>31</v>
      </c>
      <c r="BB27" s="116">
        <v>21000</v>
      </c>
      <c r="BC27" s="123">
        <f>DecReport[[#This Row],[SALARY]]/DecReport[[#This Row],[PAID DAYS]]</f>
        <v>677.41935483870964</v>
      </c>
      <c r="BD27" s="119">
        <f>DecReport[[#This Row],[SALARY]]-DecReport[[#This Row],[ DEDUCTION]]</f>
        <v>20322.580645161292</v>
      </c>
      <c r="BE27" s="121"/>
      <c r="BF27" s="14"/>
      <c r="BG27" s="14"/>
      <c r="BH27" s="4"/>
      <c r="BI27" s="4"/>
      <c r="BJ27" s="4"/>
      <c r="BK27" s="4"/>
      <c r="BL27" s="4"/>
      <c r="BM27" s="4"/>
    </row>
    <row r="28" spans="4:65" ht="30" customHeight="1"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62"/>
      <c r="AP28" s="14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4"/>
      <c r="BF28" s="14"/>
      <c r="BG28" s="14"/>
      <c r="BH28" s="4"/>
      <c r="BI28" s="4"/>
      <c r="BJ28" s="4"/>
      <c r="BK28" s="4"/>
      <c r="BL28" s="4"/>
      <c r="BM28" s="4"/>
    </row>
    <row r="29" spans="4:65" ht="30" customHeight="1">
      <c r="D29" s="55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62"/>
      <c r="AP29" s="14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14"/>
      <c r="BG29" s="14"/>
      <c r="BH29" s="4"/>
      <c r="BI29" s="4"/>
      <c r="BJ29" s="4"/>
      <c r="BK29" s="4"/>
      <c r="BL29" s="4"/>
      <c r="BM29" s="4"/>
    </row>
    <row r="30" spans="4:65" ht="30" customHeight="1">
      <c r="D30" s="55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62"/>
      <c r="AP30" s="14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4"/>
      <c r="BF30" s="14"/>
      <c r="BG30" s="14"/>
      <c r="BH30" s="4"/>
      <c r="BI30" s="4"/>
      <c r="BJ30" s="4"/>
      <c r="BK30" s="4"/>
      <c r="BL30" s="4"/>
      <c r="BM30" s="4"/>
    </row>
    <row r="31" spans="4:65" ht="30" customHeight="1"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62"/>
      <c r="AP31" s="14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4"/>
      <c r="BF31" s="14"/>
      <c r="BG31" s="14"/>
      <c r="BH31" s="4"/>
      <c r="BI31" s="4"/>
      <c r="BJ31" s="4"/>
      <c r="BK31" s="4"/>
      <c r="BL31" s="4"/>
      <c r="BM31" s="4"/>
    </row>
    <row r="32" spans="4:65" ht="30" customHeight="1"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62"/>
      <c r="AP32" s="14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/>
      <c r="BF32" s="14"/>
      <c r="BG32" s="14"/>
      <c r="BH32" s="4"/>
      <c r="BI32" s="4"/>
      <c r="BJ32" s="4"/>
      <c r="BK32" s="4"/>
      <c r="BL32" s="4"/>
      <c r="BM32" s="4"/>
    </row>
    <row r="33" spans="1:65" ht="30" customHeight="1"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62"/>
      <c r="AP33" s="14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4"/>
      <c r="BF33" s="14"/>
      <c r="BG33" s="14"/>
      <c r="BH33" s="4"/>
      <c r="BI33" s="4"/>
      <c r="BJ33" s="4"/>
      <c r="BK33" s="4"/>
      <c r="BL33" s="4"/>
      <c r="BM33" s="4"/>
    </row>
    <row r="34" spans="1:65" ht="30" customHeight="1"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62"/>
      <c r="AP34" s="14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4"/>
      <c r="BF34" s="14"/>
      <c r="BG34" s="14"/>
      <c r="BH34" s="4"/>
      <c r="BI34" s="4"/>
      <c r="BJ34" s="4"/>
      <c r="BK34" s="4"/>
      <c r="BL34" s="4"/>
      <c r="BM34" s="4"/>
    </row>
    <row r="35" spans="1:65" ht="30" customHeight="1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62"/>
      <c r="AP35" s="14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4"/>
      <c r="BF35" s="14"/>
      <c r="BG35" s="14"/>
      <c r="BH35" s="4"/>
      <c r="BI35" s="4"/>
      <c r="BJ35" s="4"/>
      <c r="BK35" s="4"/>
      <c r="BL35" s="4"/>
      <c r="BM35" s="4"/>
    </row>
    <row r="36" spans="1:65" ht="30" customHeight="1" thickBot="1">
      <c r="D36" s="66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8"/>
      <c r="AP36" s="14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4"/>
      <c r="BF36" s="14"/>
      <c r="BG36" s="14"/>
      <c r="BH36" s="4"/>
      <c r="BI36" s="4"/>
      <c r="BJ36" s="4"/>
      <c r="BK36" s="4"/>
      <c r="BL36" s="4"/>
      <c r="BM36" s="4"/>
    </row>
    <row r="37" spans="1:65" ht="3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4"/>
      <c r="BF37" s="4"/>
      <c r="BG37" s="4"/>
      <c r="BH37" s="4"/>
      <c r="BI37" s="4"/>
      <c r="BJ37" s="4"/>
      <c r="BK37" s="4"/>
      <c r="BL37" s="4"/>
      <c r="BM37" s="4"/>
    </row>
    <row r="38" spans="1:65" ht="3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4"/>
      <c r="BF38" s="4"/>
      <c r="BG38" s="4"/>
      <c r="BH38" s="4"/>
      <c r="BI38" s="4"/>
      <c r="BJ38" s="4"/>
      <c r="BK38" s="4"/>
      <c r="BL38" s="4"/>
      <c r="BM38" s="4"/>
    </row>
    <row r="39" spans="1:65" ht="3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4"/>
      <c r="BF39" s="4"/>
      <c r="BG39" s="4"/>
      <c r="BH39" s="4"/>
      <c r="BI39" s="4"/>
      <c r="BJ39" s="4"/>
      <c r="BK39" s="4"/>
      <c r="BL39" s="4"/>
      <c r="BM39" s="4"/>
    </row>
    <row r="40" spans="1:65" ht="3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4"/>
      <c r="BF40" s="4"/>
      <c r="BG40" s="4"/>
      <c r="BH40" s="4"/>
      <c r="BI40" s="4"/>
      <c r="BJ40" s="4"/>
      <c r="BK40" s="4"/>
      <c r="BL40" s="4"/>
      <c r="BM40" s="4"/>
    </row>
    <row r="41" spans="1:65" ht="3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4"/>
      <c r="BF41" s="4"/>
      <c r="BG41" s="4"/>
      <c r="BH41" s="4"/>
      <c r="BI41" s="4"/>
      <c r="BJ41" s="4"/>
      <c r="BK41" s="4"/>
      <c r="BL41" s="4"/>
      <c r="BM41" s="4"/>
    </row>
    <row r="42" spans="1:65" ht="3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4"/>
      <c r="BF42" s="4"/>
      <c r="BG42" s="4"/>
      <c r="BH42" s="4"/>
      <c r="BI42" s="4"/>
      <c r="BJ42" s="4"/>
      <c r="BK42" s="4"/>
      <c r="BL42" s="4"/>
      <c r="BM42" s="4"/>
    </row>
    <row r="43" spans="1:65" ht="3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4"/>
      <c r="BF43" s="4"/>
      <c r="BG43" s="4"/>
      <c r="BH43" s="4"/>
      <c r="BI43" s="4"/>
      <c r="BJ43" s="4"/>
      <c r="BK43" s="4"/>
      <c r="BL43" s="4"/>
      <c r="BM43" s="4"/>
    </row>
    <row r="44" spans="1:65" ht="3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4"/>
      <c r="BF44" s="4"/>
      <c r="BG44" s="4"/>
      <c r="BH44" s="4"/>
      <c r="BI44" s="4"/>
      <c r="BJ44" s="4"/>
      <c r="BK44" s="4"/>
      <c r="BL44" s="4"/>
      <c r="BM44" s="4"/>
    </row>
    <row r="45" spans="1:65" ht="30" customHeight="1">
      <c r="A45" s="4"/>
      <c r="B45" s="4"/>
      <c r="C45" s="4"/>
      <c r="D45" s="4"/>
      <c r="E45" s="4"/>
      <c r="AP45" s="4"/>
      <c r="AQ45" s="5"/>
      <c r="BF45" s="4"/>
      <c r="BG45" s="4"/>
      <c r="BH45" s="4"/>
      <c r="BI45" s="4"/>
      <c r="BJ45" s="4"/>
      <c r="BK45" s="4"/>
      <c r="BL45" s="4"/>
      <c r="BM45" s="4"/>
    </row>
    <row r="46" spans="1:65" ht="30" customHeight="1">
      <c r="AP46" s="4"/>
      <c r="AQ46" s="5"/>
      <c r="BF46" s="4"/>
      <c r="BG46" s="4"/>
      <c r="BH46" s="4"/>
      <c r="BI46" s="4"/>
      <c r="BJ46" s="4"/>
      <c r="BK46" s="4"/>
      <c r="BL46" s="4"/>
      <c r="BM46" s="4"/>
    </row>
    <row r="47" spans="1:65" ht="30" customHeight="1">
      <c r="AP47" s="4"/>
      <c r="AQ47" s="5"/>
      <c r="BF47" s="4"/>
      <c r="BG47" s="4"/>
      <c r="BH47" s="4"/>
      <c r="BI47" s="4"/>
      <c r="BJ47" s="4"/>
      <c r="BK47" s="4"/>
      <c r="BL47" s="4"/>
      <c r="BM47" s="4"/>
    </row>
    <row r="48" spans="1:65" ht="30" customHeight="1">
      <c r="AP48" s="4"/>
      <c r="AQ48" s="5"/>
      <c r="BF48" s="4"/>
      <c r="BG48" s="4"/>
      <c r="BH48" s="4"/>
      <c r="BI48" s="4"/>
      <c r="BJ48" s="4"/>
      <c r="BK48" s="4"/>
      <c r="BL48" s="4"/>
      <c r="BM48" s="4"/>
    </row>
    <row r="49" spans="42:65" ht="30" customHeight="1">
      <c r="AP49" s="4"/>
      <c r="AQ49" s="5"/>
      <c r="BF49" s="4"/>
      <c r="BG49" s="4"/>
      <c r="BH49" s="4"/>
      <c r="BI49" s="4"/>
      <c r="BJ49" s="4"/>
      <c r="BK49" s="4"/>
      <c r="BL49" s="4"/>
      <c r="BM49" s="4"/>
    </row>
    <row r="50" spans="42:65" ht="30" customHeight="1">
      <c r="AP50" s="4"/>
      <c r="AQ50" s="5"/>
      <c r="BF50" s="4"/>
      <c r="BG50" s="4"/>
      <c r="BH50" s="4"/>
      <c r="BI50" s="4"/>
      <c r="BJ50" s="4"/>
      <c r="BK50" s="4"/>
      <c r="BL50" s="4"/>
      <c r="BM50" s="4"/>
    </row>
    <row r="51" spans="42:65" ht="30" customHeight="1">
      <c r="AP51" s="4"/>
      <c r="AQ51" s="5"/>
    </row>
    <row r="52" spans="42:65" ht="30" customHeight="1">
      <c r="AP52" s="4"/>
      <c r="AQ52" s="5"/>
    </row>
    <row r="53" spans="42:65" ht="30" customHeight="1">
      <c r="AP53" s="4"/>
      <c r="AQ53" s="5"/>
    </row>
    <row r="54" spans="42:65" ht="30" customHeight="1">
      <c r="AP54" s="4"/>
      <c r="AQ54" s="5"/>
    </row>
    <row r="55" spans="42:65" ht="30" customHeight="1">
      <c r="AP55" s="4"/>
      <c r="AQ55" s="5"/>
    </row>
    <row r="56" spans="42:65" ht="30" customHeight="1">
      <c r="AP56" s="4"/>
      <c r="AQ56" s="5"/>
    </row>
    <row r="57" spans="42:65" ht="30" customHeight="1">
      <c r="AP57" s="4"/>
      <c r="AQ57" s="5"/>
    </row>
    <row r="58" spans="42:65" ht="30" customHeight="1">
      <c r="AP58" s="4"/>
      <c r="AQ58" s="5"/>
    </row>
    <row r="59" spans="42:65" ht="30" customHeight="1">
      <c r="AP59" s="4"/>
      <c r="AQ59" s="5"/>
    </row>
    <row r="60" spans="42:65" ht="30" customHeight="1">
      <c r="AP60" s="4"/>
      <c r="AQ60" s="5"/>
    </row>
    <row r="61" spans="42:65" ht="30" customHeight="1">
      <c r="AP61" s="4"/>
      <c r="AQ61" s="5"/>
    </row>
    <row r="62" spans="42:65" ht="30" customHeight="1"/>
    <row r="63" spans="42:65" ht="30" customHeight="1"/>
    <row r="64" spans="42:65" ht="30" customHeight="1"/>
    <row r="65" ht="30" customHeight="1"/>
  </sheetData>
  <mergeCells count="1">
    <mergeCell ref="G6:I6"/>
  </mergeCells>
  <conditionalFormatting sqref="J6:AO27">
    <cfRule type="containsText" dxfId="3" priority="4" operator="containsText" text="WO">
      <formula>NOT(ISERROR(SEARCH("WO",J6)))</formula>
    </cfRule>
  </conditionalFormatting>
  <conditionalFormatting sqref="K8:AO27">
    <cfRule type="containsText" dxfId="2" priority="1" operator="containsText" text="L">
      <formula>NOT(ISERROR(SEARCH("L",K8)))</formula>
    </cfRule>
    <cfRule type="containsText" dxfId="1" priority="2" operator="containsText" text="A">
      <formula>NOT(ISERROR(SEARCH("A",K8)))</formula>
    </cfRule>
    <cfRule type="containsText" dxfId="0" priority="3" operator="containsText" text="P">
      <formula>NOT(ISERROR(SEARCH("P",K8)))</formula>
    </cfRule>
  </conditionalFormatting>
  <dataValidations count="1">
    <dataValidation type="list" allowBlank="1" showInputMessage="1" showErrorMessage="1" sqref="P8:U27 W8:AB27 K8:N27 AD8:AI27 AK8:AO27" xr:uid="{BE42ECFD-063F-4423-A60F-1DD921154943}">
      <formula1>"P,A,L"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2111F8-807F-4F45-9075-64EE5E14B0BB}">
          <x14:formula1>
            <xm:f>ROUGH!$A$1:$A$12</xm:f>
          </x14:formula1>
          <xm:sqref>I4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EF2B67D-E21B-4DD6-AFC7-6A2ACE1DB630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DECEMBER!AV8:AY8</xm:f>
              <xm:sqref>BE8</xm:sqref>
            </x14:sparkline>
            <x14:sparkline>
              <xm:f>DECEMBER!AV9:AY9</xm:f>
              <xm:sqref>BE9</xm:sqref>
            </x14:sparkline>
            <x14:sparkline>
              <xm:f>DECEMBER!AV10:AY10</xm:f>
              <xm:sqref>BE10</xm:sqref>
            </x14:sparkline>
            <x14:sparkline>
              <xm:f>DECEMBER!AV11:AY11</xm:f>
              <xm:sqref>BE11</xm:sqref>
            </x14:sparkline>
            <x14:sparkline>
              <xm:f>DECEMBER!AV12:AY12</xm:f>
              <xm:sqref>BE12</xm:sqref>
            </x14:sparkline>
            <x14:sparkline>
              <xm:f>DECEMBER!AV13:AY13</xm:f>
              <xm:sqref>BE13</xm:sqref>
            </x14:sparkline>
            <x14:sparkline>
              <xm:f>DECEMBER!AV14:AY14</xm:f>
              <xm:sqref>BE14</xm:sqref>
            </x14:sparkline>
            <x14:sparkline>
              <xm:f>DECEMBER!AV15:AY15</xm:f>
              <xm:sqref>BE15</xm:sqref>
            </x14:sparkline>
            <x14:sparkline>
              <xm:f>DECEMBER!AV16:AY16</xm:f>
              <xm:sqref>BE16</xm:sqref>
            </x14:sparkline>
            <x14:sparkline>
              <xm:f>DECEMBER!AV17:AY17</xm:f>
              <xm:sqref>BE17</xm:sqref>
            </x14:sparkline>
            <x14:sparkline>
              <xm:f>DECEMBER!AV18:AY18</xm:f>
              <xm:sqref>BE18</xm:sqref>
            </x14:sparkline>
            <x14:sparkline>
              <xm:f>DECEMBER!AV19:AY19</xm:f>
              <xm:sqref>BE19</xm:sqref>
            </x14:sparkline>
            <x14:sparkline>
              <xm:f>DECEMBER!AV20:AY20</xm:f>
              <xm:sqref>BE20</xm:sqref>
            </x14:sparkline>
            <x14:sparkline>
              <xm:f>DECEMBER!AV21:AY21</xm:f>
              <xm:sqref>BE21</xm:sqref>
            </x14:sparkline>
            <x14:sparkline>
              <xm:f>DECEMBER!AV22:AY22</xm:f>
              <xm:sqref>BE22</xm:sqref>
            </x14:sparkline>
            <x14:sparkline>
              <xm:f>DECEMBER!AV23:AY23</xm:f>
              <xm:sqref>BE23</xm:sqref>
            </x14:sparkline>
            <x14:sparkline>
              <xm:f>DECEMBER!AV24:AY24</xm:f>
              <xm:sqref>BE24</xm:sqref>
            </x14:sparkline>
            <x14:sparkline>
              <xm:f>DECEMBER!AV25:AY25</xm:f>
              <xm:sqref>BE25</xm:sqref>
            </x14:sparkline>
            <x14:sparkline>
              <xm:f>DECEMBER!AV26:AY26</xm:f>
              <xm:sqref>BE26</xm:sqref>
            </x14:sparkline>
            <x14:sparkline>
              <xm:f>DECEMBER!AV27:AY27</xm:f>
              <xm:sqref>BE27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F825-6273-4DD7-B513-F6E0E724689D}">
  <dimension ref="A1:A12"/>
  <sheetViews>
    <sheetView workbookViewId="0">
      <selection activeCell="H13" sqref="H13"/>
    </sheetView>
  </sheetViews>
  <sheetFormatPr defaultRowHeight="15"/>
  <cols>
    <col min="1" max="1" width="17.42578125" style="1" customWidth="1"/>
    <col min="2" max="2" width="9.140625" style="1"/>
    <col min="3" max="3" width="9.42578125" style="1" bestFit="1" customWidth="1"/>
    <col min="4" max="16384" width="9.140625" style="1"/>
  </cols>
  <sheetData>
    <row r="1" spans="1:1">
      <c r="A1" s="153">
        <v>45658</v>
      </c>
    </row>
    <row r="2" spans="1:1">
      <c r="A2" s="153">
        <v>45689</v>
      </c>
    </row>
    <row r="3" spans="1:1">
      <c r="A3" s="153">
        <v>45717</v>
      </c>
    </row>
    <row r="4" spans="1:1">
      <c r="A4" s="153">
        <v>45748</v>
      </c>
    </row>
    <row r="5" spans="1:1">
      <c r="A5" s="153">
        <v>45778</v>
      </c>
    </row>
    <row r="6" spans="1:1">
      <c r="A6" s="153">
        <v>45809</v>
      </c>
    </row>
    <row r="7" spans="1:1">
      <c r="A7" s="153">
        <v>45839</v>
      </c>
    </row>
    <row r="8" spans="1:1">
      <c r="A8" s="153">
        <v>45870</v>
      </c>
    </row>
    <row r="9" spans="1:1">
      <c r="A9" s="153">
        <v>45901</v>
      </c>
    </row>
    <row r="10" spans="1:1">
      <c r="A10" s="153">
        <v>45931</v>
      </c>
    </row>
    <row r="11" spans="1:1">
      <c r="A11" s="153">
        <v>45962</v>
      </c>
    </row>
    <row r="12" spans="1:1">
      <c r="A12" s="153">
        <v>45992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2176-C4CC-4451-BB2E-A00C8D26A0E7}">
  <dimension ref="A1:C21"/>
  <sheetViews>
    <sheetView workbookViewId="0">
      <selection activeCell="E11" sqref="E11"/>
    </sheetView>
  </sheetViews>
  <sheetFormatPr defaultRowHeight="12"/>
  <cols>
    <col min="1" max="1" width="7.140625" style="128" customWidth="1"/>
    <col min="2" max="2" width="14.7109375" style="128" customWidth="1"/>
    <col min="3" max="3" width="16.42578125" style="128" customWidth="1"/>
    <col min="4" max="16384" width="9.140625" style="128"/>
  </cols>
  <sheetData>
    <row r="1" spans="1:3" ht="21" customHeight="1">
      <c r="A1" s="125" t="s">
        <v>26</v>
      </c>
      <c r="B1" s="126" t="s">
        <v>21</v>
      </c>
      <c r="C1" s="127" t="s">
        <v>22</v>
      </c>
    </row>
    <row r="2" spans="1:3" ht="15" customHeight="1">
      <c r="A2" s="129">
        <v>1</v>
      </c>
      <c r="B2" s="130">
        <v>1001</v>
      </c>
      <c r="C2" s="131" t="s">
        <v>1</v>
      </c>
    </row>
    <row r="3" spans="1:3" ht="15" customHeight="1">
      <c r="A3" s="129">
        <v>2</v>
      </c>
      <c r="B3" s="130">
        <v>1002</v>
      </c>
      <c r="C3" s="131" t="s">
        <v>2</v>
      </c>
    </row>
    <row r="4" spans="1:3" ht="15" customHeight="1">
      <c r="A4" s="129">
        <v>3</v>
      </c>
      <c r="B4" s="130">
        <v>1003</v>
      </c>
      <c r="C4" s="131" t="s">
        <v>3</v>
      </c>
    </row>
    <row r="5" spans="1:3" ht="15" customHeight="1">
      <c r="A5" s="129">
        <v>4</v>
      </c>
      <c r="B5" s="130">
        <v>1004</v>
      </c>
      <c r="C5" s="131" t="s">
        <v>4</v>
      </c>
    </row>
    <row r="6" spans="1:3" ht="15" customHeight="1">
      <c r="A6" s="129">
        <v>5</v>
      </c>
      <c r="B6" s="130">
        <v>1005</v>
      </c>
      <c r="C6" s="131" t="s">
        <v>5</v>
      </c>
    </row>
    <row r="7" spans="1:3" ht="15" customHeight="1">
      <c r="A7" s="129">
        <v>6</v>
      </c>
      <c r="B7" s="130">
        <v>1006</v>
      </c>
      <c r="C7" s="131" t="s">
        <v>6</v>
      </c>
    </row>
    <row r="8" spans="1:3" ht="15" customHeight="1">
      <c r="A8" s="129">
        <v>7</v>
      </c>
      <c r="B8" s="130">
        <v>1007</v>
      </c>
      <c r="C8" s="131" t="s">
        <v>7</v>
      </c>
    </row>
    <row r="9" spans="1:3" ht="15" customHeight="1">
      <c r="A9" s="129">
        <v>8</v>
      </c>
      <c r="B9" s="130">
        <v>1008</v>
      </c>
      <c r="C9" s="131" t="s">
        <v>8</v>
      </c>
    </row>
    <row r="10" spans="1:3" ht="15" customHeight="1">
      <c r="A10" s="129">
        <v>9</v>
      </c>
      <c r="B10" s="130">
        <v>1009</v>
      </c>
      <c r="C10" s="131" t="s">
        <v>9</v>
      </c>
    </row>
    <row r="11" spans="1:3" ht="15" customHeight="1">
      <c r="A11" s="129">
        <v>10</v>
      </c>
      <c r="B11" s="130">
        <v>1010</v>
      </c>
      <c r="C11" s="131" t="s">
        <v>10</v>
      </c>
    </row>
    <row r="12" spans="1:3" ht="15" customHeight="1">
      <c r="A12" s="129">
        <v>11</v>
      </c>
      <c r="B12" s="130">
        <v>1011</v>
      </c>
      <c r="C12" s="131" t="s">
        <v>11</v>
      </c>
    </row>
    <row r="13" spans="1:3" ht="15" customHeight="1">
      <c r="A13" s="129">
        <v>12</v>
      </c>
      <c r="B13" s="130">
        <v>1012</v>
      </c>
      <c r="C13" s="131" t="s">
        <v>12</v>
      </c>
    </row>
    <row r="14" spans="1:3" ht="15" customHeight="1">
      <c r="A14" s="129">
        <v>13</v>
      </c>
      <c r="B14" s="130">
        <v>1013</v>
      </c>
      <c r="C14" s="131" t="s">
        <v>13</v>
      </c>
    </row>
    <row r="15" spans="1:3" ht="15" customHeight="1">
      <c r="A15" s="129">
        <v>14</v>
      </c>
      <c r="B15" s="130">
        <v>1014</v>
      </c>
      <c r="C15" s="131" t="s">
        <v>14</v>
      </c>
    </row>
    <row r="16" spans="1:3" ht="15" customHeight="1">
      <c r="A16" s="129">
        <v>15</v>
      </c>
      <c r="B16" s="130">
        <v>1015</v>
      </c>
      <c r="C16" s="131" t="s">
        <v>15</v>
      </c>
    </row>
    <row r="17" spans="1:3" ht="15" customHeight="1">
      <c r="A17" s="129">
        <v>16</v>
      </c>
      <c r="B17" s="130">
        <v>1016</v>
      </c>
      <c r="C17" s="131" t="s">
        <v>16</v>
      </c>
    </row>
    <row r="18" spans="1:3" ht="15" customHeight="1">
      <c r="A18" s="129">
        <v>17</v>
      </c>
      <c r="B18" s="130">
        <v>1017</v>
      </c>
      <c r="C18" s="131" t="s">
        <v>17</v>
      </c>
    </row>
    <row r="19" spans="1:3" ht="15" customHeight="1">
      <c r="A19" s="129">
        <v>18</v>
      </c>
      <c r="B19" s="130">
        <v>1018</v>
      </c>
      <c r="C19" s="131" t="s">
        <v>18</v>
      </c>
    </row>
    <row r="20" spans="1:3" ht="15" customHeight="1">
      <c r="A20" s="129">
        <v>19</v>
      </c>
      <c r="B20" s="130">
        <v>1019</v>
      </c>
      <c r="C20" s="131" t="s">
        <v>19</v>
      </c>
    </row>
    <row r="21" spans="1:3" ht="15" customHeight="1" thickBot="1">
      <c r="A21" s="132">
        <v>20</v>
      </c>
      <c r="B21" s="133">
        <v>1020</v>
      </c>
      <c r="C21" s="134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2B3588-F96C-4060-92A5-42FFE8334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ROUGH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2025-07-30T03:35:47Z</dcterms:created>
  <dcterms:modified xsi:type="dcterms:W3CDTF">2025-10-30T15:22:06Z</dcterms:modified>
</cp:coreProperties>
</file>