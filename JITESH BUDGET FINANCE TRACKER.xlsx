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XCEL PROJECT\BUDGET FINANCE TRACKER\"/>
    </mc:Choice>
  </mc:AlternateContent>
  <xr:revisionPtr revIDLastSave="0" documentId="13_ncr:1_{45678330-B9C1-4E68-B866-E4C552DFBB1B}" xr6:coauthVersionLast="47" xr6:coauthVersionMax="47" xr10:uidLastSave="{00000000-0000-0000-0000-000000000000}"/>
  <bookViews>
    <workbookView xWindow="-120" yWindow="-120" windowWidth="20730" windowHeight="11160" xr2:uid="{AB0A1A6E-932B-48DD-85F4-A5EE2B9D534D}"/>
  </bookViews>
  <sheets>
    <sheet name="Dashboard" sheetId="1" r:id="rId1"/>
    <sheet name="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M25" i="1"/>
  <c r="L25" i="1"/>
  <c r="K25" i="1"/>
  <c r="J25" i="1"/>
  <c r="I25" i="1"/>
  <c r="H25" i="1"/>
  <c r="G25" i="1"/>
  <c r="F25" i="1"/>
  <c r="E25" i="1"/>
  <c r="D25" i="1"/>
  <c r="N22" i="1"/>
  <c r="M22" i="1"/>
  <c r="L22" i="1"/>
  <c r="K22" i="1"/>
  <c r="J22" i="1"/>
  <c r="I22" i="1"/>
  <c r="H22" i="1"/>
  <c r="G22" i="1"/>
  <c r="F22" i="1"/>
  <c r="E22" i="1"/>
  <c r="D22" i="1"/>
  <c r="E11" i="1"/>
  <c r="F11" i="1"/>
  <c r="G11" i="1"/>
  <c r="H11" i="1"/>
  <c r="I11" i="1"/>
  <c r="J11" i="1"/>
  <c r="K11" i="1"/>
  <c r="L11" i="1"/>
  <c r="M11" i="1"/>
  <c r="N11" i="1"/>
  <c r="D11" i="1"/>
  <c r="P24" i="1"/>
  <c r="P15" i="1"/>
  <c r="P16" i="1"/>
  <c r="P17" i="1"/>
  <c r="P18" i="1"/>
  <c r="P19" i="1"/>
  <c r="P20" i="1"/>
  <c r="P21" i="1"/>
  <c r="P14" i="1"/>
  <c r="P10" i="1"/>
  <c r="P7" i="1"/>
  <c r="P8" i="1"/>
  <c r="P9" i="1"/>
  <c r="P6" i="1"/>
  <c r="D24" i="1"/>
  <c r="E24" i="1"/>
  <c r="F24" i="1"/>
  <c r="G24" i="1"/>
  <c r="H24" i="1"/>
  <c r="I24" i="1"/>
  <c r="J24" i="1"/>
  <c r="K24" i="1"/>
  <c r="L24" i="1"/>
  <c r="M24" i="1"/>
  <c r="N24" i="1"/>
  <c r="D18" i="1"/>
  <c r="E18" i="1"/>
  <c r="F18" i="1"/>
  <c r="G18" i="1"/>
  <c r="H18" i="1"/>
  <c r="I18" i="1"/>
  <c r="J18" i="1"/>
  <c r="J21" i="1" s="1"/>
  <c r="K18" i="1"/>
  <c r="L18" i="1"/>
  <c r="M18" i="1"/>
  <c r="N18" i="1"/>
  <c r="D19" i="1"/>
  <c r="D21" i="1" s="1"/>
  <c r="E19" i="1"/>
  <c r="F19" i="1"/>
  <c r="G19" i="1"/>
  <c r="H19" i="1"/>
  <c r="H21" i="1" s="1"/>
  <c r="I19" i="1"/>
  <c r="J19" i="1"/>
  <c r="K19" i="1"/>
  <c r="L19" i="1"/>
  <c r="L21" i="1" s="1"/>
  <c r="M19" i="1"/>
  <c r="N19" i="1"/>
  <c r="C19" i="1"/>
  <c r="C18" i="1"/>
  <c r="E21" i="1"/>
  <c r="F21" i="1"/>
  <c r="G21" i="1"/>
  <c r="I21" i="1"/>
  <c r="K21" i="1"/>
  <c r="M21" i="1"/>
  <c r="N21" i="1"/>
  <c r="C10" i="1"/>
  <c r="D10" i="1"/>
  <c r="E10" i="1"/>
  <c r="F10" i="1"/>
  <c r="G10" i="1"/>
  <c r="H10" i="1"/>
  <c r="I10" i="1"/>
  <c r="J10" i="1"/>
  <c r="K10" i="1"/>
  <c r="L10" i="1"/>
  <c r="M10" i="1"/>
  <c r="N10" i="1"/>
  <c r="K9" i="1"/>
  <c r="N17" i="1"/>
  <c r="M17" i="1"/>
  <c r="L17" i="1"/>
  <c r="K17" i="1"/>
  <c r="J17" i="1"/>
  <c r="I17" i="1"/>
  <c r="H17" i="1"/>
  <c r="G17" i="1"/>
  <c r="F17" i="1"/>
  <c r="E17" i="1"/>
  <c r="D17" i="1"/>
  <c r="C17" i="1"/>
  <c r="N16" i="1"/>
  <c r="M16" i="1"/>
  <c r="L16" i="1"/>
  <c r="K16" i="1"/>
  <c r="J16" i="1"/>
  <c r="I16" i="1"/>
  <c r="H16" i="1"/>
  <c r="G16" i="1"/>
  <c r="F16" i="1"/>
  <c r="E16" i="1"/>
  <c r="D16" i="1"/>
  <c r="C16" i="1"/>
  <c r="N15" i="1"/>
  <c r="M15" i="1"/>
  <c r="L15" i="1"/>
  <c r="K15" i="1"/>
  <c r="J15" i="1"/>
  <c r="I15" i="1"/>
  <c r="H15" i="1"/>
  <c r="G15" i="1"/>
  <c r="F15" i="1"/>
  <c r="E15" i="1"/>
  <c r="D15" i="1"/>
  <c r="C15" i="1"/>
  <c r="N14" i="1"/>
  <c r="M14" i="1"/>
  <c r="L14" i="1"/>
  <c r="K14" i="1"/>
  <c r="J14" i="1"/>
  <c r="I14" i="1"/>
  <c r="H14" i="1"/>
  <c r="G14" i="1"/>
  <c r="F14" i="1"/>
  <c r="E14" i="1"/>
  <c r="D14" i="1"/>
  <c r="C14" i="1"/>
  <c r="C7" i="1"/>
  <c r="D7" i="1"/>
  <c r="E7" i="1"/>
  <c r="F7" i="1"/>
  <c r="G7" i="1"/>
  <c r="H7" i="1"/>
  <c r="I7" i="1"/>
  <c r="J7" i="1"/>
  <c r="K7" i="1"/>
  <c r="L7" i="1"/>
  <c r="M7" i="1"/>
  <c r="N7" i="1"/>
  <c r="C8" i="1"/>
  <c r="D8" i="1"/>
  <c r="E8" i="1"/>
  <c r="F8" i="1"/>
  <c r="G8" i="1"/>
  <c r="H8" i="1"/>
  <c r="I8" i="1"/>
  <c r="J8" i="1"/>
  <c r="K8" i="1"/>
  <c r="L8" i="1"/>
  <c r="M8" i="1"/>
  <c r="N8" i="1"/>
  <c r="C9" i="1"/>
  <c r="D9" i="1"/>
  <c r="E9" i="1"/>
  <c r="F9" i="1"/>
  <c r="G9" i="1"/>
  <c r="H9" i="1"/>
  <c r="I9" i="1"/>
  <c r="J9" i="1"/>
  <c r="L9" i="1"/>
  <c r="M9" i="1"/>
  <c r="N9" i="1"/>
  <c r="D6" i="1"/>
  <c r="E6" i="1"/>
  <c r="F6" i="1"/>
  <c r="G6" i="1"/>
  <c r="H6" i="1"/>
  <c r="I6" i="1"/>
  <c r="J6" i="1"/>
  <c r="K6" i="1"/>
  <c r="L6" i="1"/>
  <c r="M6" i="1"/>
  <c r="N6" i="1"/>
  <c r="C6" i="1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21" i="1" l="1"/>
  <c r="C24" i="1" s="1"/>
</calcChain>
</file>

<file path=xl/sharedStrings.xml><?xml version="1.0" encoding="utf-8"?>
<sst xmlns="http://schemas.openxmlformats.org/spreadsheetml/2006/main" count="234" uniqueCount="68">
  <si>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</si>
  <si>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</si>
  <si>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</si>
  <si>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</si>
  <si>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</si>
  <si>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</si>
  <si>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</si>
  <si>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</si>
  <si>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</si>
  <si>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</si>
  <si>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</si>
  <si>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</si>
  <si>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Income:</t>
  </si>
  <si>
    <t>Base Salary</t>
  </si>
  <si>
    <t>Side Hustle</t>
  </si>
  <si>
    <t>Investments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</si>
  <si>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</si>
  <si>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</si>
  <si>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</si>
  <si>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</si>
  <si>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</si>
  <si>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</si>
  <si>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</si>
  <si>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</si>
  <si>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MoM% growth</t>
  </si>
  <si>
    <t>Savings</t>
  </si>
  <si>
    <t>Total Expenses</t>
  </si>
  <si>
    <t>YTD Total</t>
  </si>
  <si>
    <t>Personal Finance Tracker</t>
  </si>
  <si>
    <t>Figures in USD</t>
  </si>
  <si>
    <t>Actual Income And Expenses</t>
  </si>
  <si>
    <t>Date</t>
  </si>
  <si>
    <t>Month</t>
  </si>
  <si>
    <t>Category</t>
  </si>
  <si>
    <t>Description</t>
  </si>
  <si>
    <t>Amount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</si>
  <si>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</si>
  <si>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</si>
  <si>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</si>
  <si>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</si>
  <si>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</si>
  <si>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</si>
  <si>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</si>
  <si>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</si>
  <si>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Bonus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</si>
  <si>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</si>
  <si>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</si>
  <si>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</si>
  <si>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</si>
  <si>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</si>
  <si>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</si>
  <si>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</si>
  <si>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</si>
  <si>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Stock Dividends</t>
  </si>
  <si>
    <t>Lunch out x4</t>
  </si>
  <si>
    <t>Dinner with friends x2</t>
  </si>
  <si>
    <t>Exercise</t>
  </si>
  <si>
    <t>Travel back home</t>
  </si>
  <si>
    <t>Disco &amp; drinks</t>
  </si>
  <si>
    <t>NBA game</t>
  </si>
  <si>
    <t>Lemonade</t>
  </si>
  <si>
    <t>Hotel in Dallas</t>
  </si>
  <si>
    <t>Music concert</t>
  </si>
  <si>
    <t>Spa</t>
  </si>
  <si>
    <t>New Shoes</t>
  </si>
  <si>
    <t>Categories</t>
  </si>
  <si>
    <t>INCOME BREAKDOWN</t>
  </si>
  <si>
    <t>EXPENSES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</si>
</sst>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2"/>
      <color theme="1"/>
      <name val="Calibri"/>
      <family val="2"/>
    </font>
    <font>
      <b/>
      <sz val="18"/>
      <color theme="4" tint="-0.499984740745262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rgb="FF0432FF"/>
      <name val="Calibri"/>
      <family val="2"/>
    </font>
    <font>
      <b/>
      <sz val="12"/>
      <color theme="0"/>
      <name val="Calibri"/>
      <family val="2"/>
    </font>
    <font>
      <b/>
      <sz val="16"/>
      <color theme="4" tint="-0.499984740745262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1"/>
      <color theme="6" tint="-0.499984740745262"/>
      <name val="Calibri"/>
      <family val="2"/>
    </font>
    <font>
      <b/>
      <sz val="11"/>
      <color theme="6" tint="-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93D68"/>
        <bgColor rgb="FF293D6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9" fillId="5" borderId="0" xfId="0" applyFont="1" applyFill="1"/>
    <xf numFmtId="0" fontId="4" fillId="0" borderId="0" xfId="0" applyFont="1" applyAlignment="1">
      <alignment horizontal="left"/>
    </xf>
    <xf numFmtId="0" fontId="4" fillId="0" borderId="0" xfId="0" applyFont="1"/>
    <xf numFmtId="0" fontId="9" fillId="2" borderId="0" xfId="0" applyFont="1" applyFill="1" applyAlignment="1">
      <alignment horizontal="center"/>
    </xf>
    <xf numFmtId="16" fontId="4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4" fillId="0" borderId="1" xfId="0" applyFont="1" applyBorder="1"/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9" fontId="14" fillId="4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9" fontId="14" fillId="7" borderId="1" xfId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INCOME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2E-4FDC-A160-C0856A9FF1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2E-4FDC-A160-C0856A9FF1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2E-4FDC-A160-C0856A9FF1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2E-4FDC-A160-C0856A9FF1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Dashboard!$B$6:$B$9</c:f>
              <c:strCache>
                <c:ptCount val="4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  <c:pt idx="3">
                  <c:v>Investments</c:v>
                </c:pt>
              </c:strCache>
            </c:strRef>
          </c:cat>
          <c:val>
            <c:numRef>
              <c:f>Dashboard!$P$6:$P$9</c:f>
              <c:numCache>
                <c:formatCode>General</c:formatCode>
                <c:ptCount val="4"/>
                <c:pt idx="0">
                  <c:v>28000</c:v>
                </c:pt>
                <c:pt idx="1">
                  <c:v>12330</c:v>
                </c:pt>
                <c:pt idx="2">
                  <c:v>2393</c:v>
                </c:pt>
                <c:pt idx="3">
                  <c:v>1668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E-4260-80E0-759449AFE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EXPENSES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38-430A-B6F3-46B4CA7BAD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38-430A-B6F3-46B4CA7BADE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38-430A-B6F3-46B4CA7BADE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E38-430A-B6F3-46B4CA7BADE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E38-430A-B6F3-46B4CA7BADE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E38-430A-B6F3-46B4CA7BAD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Dashboard!$P$14:$P$19</c:f>
              <c:numCache>
                <c:formatCode>General</c:formatCode>
                <c:ptCount val="6"/>
                <c:pt idx="0">
                  <c:v>10000</c:v>
                </c:pt>
                <c:pt idx="1">
                  <c:v>1019</c:v>
                </c:pt>
                <c:pt idx="2">
                  <c:v>409</c:v>
                </c:pt>
                <c:pt idx="3">
                  <c:v>2836</c:v>
                </c:pt>
                <c:pt idx="4">
                  <c:v>3339</c:v>
                </c:pt>
                <c:pt idx="5">
                  <c:v>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38-430A-B6F3-46B4CA7BAD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28</xdr:row>
      <xdr:rowOff>109537</xdr:rowOff>
    </xdr:from>
    <xdr:to>
      <xdr:col>4</xdr:col>
      <xdr:colOff>476249</xdr:colOff>
      <xdr:row>38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A9387-1BB3-8E34-BD4D-4E5615E5C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28</xdr:row>
      <xdr:rowOff>133350</xdr:rowOff>
    </xdr:from>
    <xdr:to>
      <xdr:col>11</xdr:col>
      <xdr:colOff>185738</xdr:colOff>
      <xdr:row>38</xdr:row>
      <xdr:rowOff>42863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320AFF-184C-4FA5-9B74-6DA532A98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EB28-7A66-4193-83FC-BCB5D971F25D}">
  <dimension ref="A2:P32"/>
  <sheetViews>
    <sheetView showGridLines="0" tabSelected="1" topLeftCell="A3" zoomScaleNormal="100" workbookViewId="0">
      <selection activeCell="F24" sqref="F24"/>
    </sheetView>
  </sheetViews>
  <sheetFormatPr defaultColWidth="13.85546875" defaultRowHeight="15" x14ac:dyDescent="0.25"/>
  <cols>
    <col min="1" max="1" width="9.85546875" style="3" customWidth="1"/>
    <col min="2" max="2" width="17.7109375" style="3" customWidth="1"/>
    <col min="3" max="3" width="11.42578125" style="5" customWidth="1"/>
    <col min="4" max="14" width="11.42578125" style="3" customWidth="1"/>
    <col min="15" max="15" width="7.7109375" style="3" customWidth="1"/>
    <col min="16" max="16" width="12" style="3" customWidth="1"/>
    <col min="17" max="16384" width="13.85546875" style="3"/>
  </cols>
  <sheetData>
    <row r="2" spans="1:16" s="1" customFormat="1" ht="30" customHeight="1" x14ac:dyDescent="0.25">
      <c r="B2" s="9" t="s">
        <v>28</v>
      </c>
      <c r="C2" s="10"/>
      <c r="D2" s="11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spans="1:16" s="25" customFormat="1" ht="27" customHeight="1" x14ac:dyDescent="0.25">
      <c r="B4" s="26" t="s">
        <v>29</v>
      </c>
      <c r="C4" s="27" t="s">
        <v>0</v>
      </c>
      <c r="D4" s="26" t="s">
        <v>1</v>
      </c>
      <c r="E4" s="26" t="s">
        <v>2</v>
      </c>
      <c r="F4" s="26" t="s">
        <v>3</v>
      </c>
      <c r="G4" s="26" t="s">
        <v>4</v>
      </c>
      <c r="H4" s="26" t="s">
        <v>5</v>
      </c>
      <c r="I4" s="26" t="s">
        <v>6</v>
      </c>
      <c r="J4" s="26" t="s">
        <v>7</v>
      </c>
      <c r="K4" s="26" t="s">
        <v>8</v>
      </c>
      <c r="L4" s="26" t="s">
        <v>9</v>
      </c>
      <c r="M4" s="26" t="s">
        <v>10</v>
      </c>
      <c r="N4" s="26" t="s">
        <v>11</v>
      </c>
      <c r="O4" s="28"/>
      <c r="P4" s="26" t="s">
        <v>27</v>
      </c>
    </row>
    <row r="5" spans="1:16" s="1" customFormat="1" ht="15" customHeight="1" x14ac:dyDescent="0.25">
      <c r="B5" s="1" t="s">
        <v>12</v>
      </c>
      <c r="C5" s="2"/>
      <c r="O5" s="6"/>
    </row>
    <row r="6" spans="1:16" s="1" customFormat="1" ht="15" customHeight="1" x14ac:dyDescent="0.25">
      <c r="B6" s="1" t="s">
        <v>13</v>
      </c>
      <c r="C6" s="2">
        <f>SUMIFS(Input!$F:$F,Input!$C:$C,Dashboard!C$4,Input!$D:$D,Dashboard!$B6)</f>
        <v>3500</v>
      </c>
      <c r="D6" s="2">
        <f>SUMIFS(Input!$F:$F,Input!$C:$C,Dashboard!D$4,Input!$D:$D,Dashboard!$B6)</f>
        <v>3500</v>
      </c>
      <c r="E6" s="2">
        <f>SUMIFS(Input!$F:$F,Input!$C:$C,Dashboard!E$4,Input!$D:$D,Dashboard!$B6)</f>
        <v>3500</v>
      </c>
      <c r="F6" s="2">
        <f>SUMIFS(Input!$F:$F,Input!$C:$C,Dashboard!F$4,Input!$D:$D,Dashboard!$B6)</f>
        <v>3500</v>
      </c>
      <c r="G6" s="2">
        <f>SUMIFS(Input!$F:$F,Input!$C:$C,Dashboard!G$4,Input!$D:$D,Dashboard!$B6)</f>
        <v>3500</v>
      </c>
      <c r="H6" s="2">
        <f>SUMIFS(Input!$F:$F,Input!$C:$C,Dashboard!H$4,Input!$D:$D,Dashboard!$B6)</f>
        <v>3500</v>
      </c>
      <c r="I6" s="2">
        <f>SUMIFS(Input!$F:$F,Input!$C:$C,Dashboard!I$4,Input!$D:$D,Dashboard!$B6)</f>
        <v>3500</v>
      </c>
      <c r="J6" s="2">
        <f>SUMIFS(Input!$F:$F,Input!$C:$C,Dashboard!J$4,Input!$D:$D,Dashboard!$B6)</f>
        <v>3500</v>
      </c>
      <c r="K6" s="2">
        <f>SUMIFS(Input!$F:$F,Input!$C:$C,Dashboard!K$4,Input!$D:$D,Dashboard!$B6)</f>
        <v>0</v>
      </c>
      <c r="L6" s="2">
        <f>SUMIFS(Input!$F:$F,Input!$C:$C,Dashboard!L$4,Input!$D:$D,Dashboard!$B6)</f>
        <v>0</v>
      </c>
      <c r="M6" s="2">
        <f>SUMIFS(Input!$F:$F,Input!$C:$C,Dashboard!M$4,Input!$D:$D,Dashboard!$B6)</f>
        <v>0</v>
      </c>
      <c r="N6" s="2">
        <f>SUMIFS(Input!$F:$F,Input!$C:$C,Dashboard!N$4,Input!$D:$D,Dashboard!$B6)</f>
        <v>0</v>
      </c>
      <c r="O6" s="2"/>
      <c r="P6" s="2">
        <f>SUM(C6:N6)</f>
        <v>28000</v>
      </c>
    </row>
    <row r="7" spans="1:16" s="1" customFormat="1" ht="15" customHeight="1" x14ac:dyDescent="0.25">
      <c r="B7" s="1" t="s">
        <v>44</v>
      </c>
      <c r="C7" s="2">
        <f>SUMIFS(Input!$F:$F,Input!$C:$C,Dashboard!C$4,Input!$D:$D,Dashboard!$B7)</f>
        <v>850</v>
      </c>
      <c r="D7" s="2">
        <f>SUMIFS(Input!$F:$F,Input!$C:$C,Dashboard!D$4,Input!$D:$D,Dashboard!$B7)</f>
        <v>1025</v>
      </c>
      <c r="E7" s="2">
        <f>SUMIFS(Input!$F:$F,Input!$C:$C,Dashboard!E$4,Input!$D:$D,Dashboard!$B7)</f>
        <v>999</v>
      </c>
      <c r="F7" s="2">
        <f>SUMIFS(Input!$F:$F,Input!$C:$C,Dashboard!F$4,Input!$D:$D,Dashboard!$B7)</f>
        <v>1243</v>
      </c>
      <c r="G7" s="2">
        <f>SUMIFS(Input!$F:$F,Input!$C:$C,Dashboard!G$4,Input!$D:$D,Dashboard!$B7)</f>
        <v>1450</v>
      </c>
      <c r="H7" s="2">
        <f>SUMIFS(Input!$F:$F,Input!$C:$C,Dashboard!H$4,Input!$D:$D,Dashboard!$B7)</f>
        <v>2232</v>
      </c>
      <c r="I7" s="2">
        <f>SUMIFS(Input!$F:$F,Input!$C:$C,Dashboard!I$4,Input!$D:$D,Dashboard!$B7)</f>
        <v>2231</v>
      </c>
      <c r="J7" s="2">
        <f>SUMIFS(Input!$F:$F,Input!$C:$C,Dashboard!J$4,Input!$D:$D,Dashboard!$B7)</f>
        <v>2300</v>
      </c>
      <c r="K7" s="2">
        <f>SUMIFS(Input!$F:$F,Input!$C:$C,Dashboard!K$4,Input!$D:$D,Dashboard!$B7)</f>
        <v>0</v>
      </c>
      <c r="L7" s="2">
        <f>SUMIFS(Input!$F:$F,Input!$C:$C,Dashboard!L$4,Input!$D:$D,Dashboard!$B7)</f>
        <v>0</v>
      </c>
      <c r="M7" s="2">
        <f>SUMIFS(Input!$F:$F,Input!$C:$C,Dashboard!M$4,Input!$D:$D,Dashboard!$B7)</f>
        <v>0</v>
      </c>
      <c r="N7" s="2">
        <f>SUMIFS(Input!$F:$F,Input!$C:$C,Dashboard!N$4,Input!$D:$D,Dashboard!$B7)</f>
        <v>0</v>
      </c>
      <c r="O7" s="2"/>
      <c r="P7" s="2">
        <f t="shared" ref="P7:P10" si="0">SUM(C7:N7)</f>
        <v>12330</v>
      </c>
    </row>
    <row r="8" spans="1:16" s="1" customFormat="1" ht="15" customHeight="1" x14ac:dyDescent="0.25">
      <c r="B8" s="1" t="s">
        <v>14</v>
      </c>
      <c r="C8" s="2">
        <f>SUMIFS(Input!$F:$F,Input!$C:$C,Dashboard!C$4,Input!$D:$D,Dashboard!$B8)</f>
        <v>199</v>
      </c>
      <c r="D8" s="2">
        <f>SUMIFS(Input!$F:$F,Input!$C:$C,Dashboard!D$4,Input!$D:$D,Dashboard!$B8)</f>
        <v>228</v>
      </c>
      <c r="E8" s="2">
        <f>SUMIFS(Input!$F:$F,Input!$C:$C,Dashboard!E$4,Input!$D:$D,Dashboard!$B8)</f>
        <v>59</v>
      </c>
      <c r="F8" s="2">
        <f>SUMIFS(Input!$F:$F,Input!$C:$C,Dashboard!F$4,Input!$D:$D,Dashboard!$B8)</f>
        <v>258</v>
      </c>
      <c r="G8" s="2">
        <f>SUMIFS(Input!$F:$F,Input!$C:$C,Dashboard!G$4,Input!$D:$D,Dashboard!$B8)</f>
        <v>1366</v>
      </c>
      <c r="H8" s="2">
        <f>SUMIFS(Input!$F:$F,Input!$C:$C,Dashboard!H$4,Input!$D:$D,Dashboard!$B8)</f>
        <v>199</v>
      </c>
      <c r="I8" s="2">
        <f>SUMIFS(Input!$F:$F,Input!$C:$C,Dashboard!I$4,Input!$D:$D,Dashboard!$B8)</f>
        <v>59</v>
      </c>
      <c r="J8" s="2">
        <f>SUMIFS(Input!$F:$F,Input!$C:$C,Dashboard!J$4,Input!$D:$D,Dashboard!$B8)</f>
        <v>25</v>
      </c>
      <c r="K8" s="2">
        <f>SUMIFS(Input!$F:$F,Input!$C:$C,Dashboard!K$4,Input!$D:$D,Dashboard!$B8)</f>
        <v>0</v>
      </c>
      <c r="L8" s="2">
        <f>SUMIFS(Input!$F:$F,Input!$C:$C,Dashboard!L$4,Input!$D:$D,Dashboard!$B8)</f>
        <v>0</v>
      </c>
      <c r="M8" s="2">
        <f>SUMIFS(Input!$F:$F,Input!$C:$C,Dashboard!M$4,Input!$D:$D,Dashboard!$B8)</f>
        <v>0</v>
      </c>
      <c r="N8" s="2">
        <f>SUMIFS(Input!$F:$F,Input!$C:$C,Dashboard!N$4,Input!$D:$D,Dashboard!$B8)</f>
        <v>0</v>
      </c>
      <c r="O8" s="2"/>
      <c r="P8" s="2">
        <f t="shared" si="0"/>
        <v>2393</v>
      </c>
    </row>
    <row r="9" spans="1:16" s="1" customFormat="1" ht="15" customHeight="1" x14ac:dyDescent="0.25">
      <c r="B9" s="1" t="s">
        <v>15</v>
      </c>
      <c r="C9" s="2">
        <f>SUMIFS(Input!$F:$F,Input!$C:$C,Dashboard!C$4,Input!$D:$D,Dashboard!$B9)</f>
        <v>0</v>
      </c>
      <c r="D9" s="2">
        <f>SUMIFS(Input!$F:$F,Input!$C:$C,Dashboard!D$4,Input!$D:$D,Dashboard!$B9)</f>
        <v>195</v>
      </c>
      <c r="E9" s="2">
        <f>SUMIFS(Input!$F:$F,Input!$C:$C,Dashboard!E$4,Input!$D:$D,Dashboard!$B9)</f>
        <v>299</v>
      </c>
      <c r="F9" s="2">
        <f>SUMIFS(Input!$F:$F,Input!$C:$C,Dashboard!F$4,Input!$D:$D,Dashboard!$B9)</f>
        <v>359</v>
      </c>
      <c r="G9" s="2">
        <f>SUMIFS(Input!$F:$F,Input!$C:$C,Dashboard!G$4,Input!$D:$D,Dashboard!$B9)</f>
        <v>0</v>
      </c>
      <c r="H9" s="2">
        <f>SUMIFS(Input!$F:$F,Input!$C:$C,Dashboard!H$4,Input!$D:$D,Dashboard!$B9)</f>
        <v>250</v>
      </c>
      <c r="I9" s="2">
        <f>SUMIFS(Input!$F:$F,Input!$C:$C,Dashboard!I$4,Input!$D:$D,Dashboard!$B9)</f>
        <v>215</v>
      </c>
      <c r="J9" s="2">
        <f>SUMIFS(Input!$F:$F,Input!$C:$C,Dashboard!J$4,Input!$D:$D,Dashboard!$B9)</f>
        <v>350</v>
      </c>
      <c r="K9" s="2">
        <f>SUMIFS(Input!$F:$F,Input!$C:$C,Dashboard!K$4,Input!$D:$D,Dashboard!$B9)</f>
        <v>0</v>
      </c>
      <c r="L9" s="2">
        <f>SUMIFS(Input!$F:$F,Input!$C:$C,Dashboard!L$4,Input!$D:$D,Dashboard!$B9)</f>
        <v>0</v>
      </c>
      <c r="M9" s="2">
        <f>SUMIFS(Input!$F:$F,Input!$C:$C,Dashboard!M$4,Input!$D:$D,Dashboard!$B9)</f>
        <v>0</v>
      </c>
      <c r="N9" s="2">
        <f>SUMIFS(Input!$F:$F,Input!$C:$C,Dashboard!N$4,Input!$D:$D,Dashboard!$B9)</f>
        <v>0</v>
      </c>
      <c r="O9" s="2"/>
      <c r="P9" s="2">
        <f t="shared" si="0"/>
        <v>1668</v>
      </c>
    </row>
    <row r="10" spans="1:16" s="1" customFormat="1" ht="20.100000000000001" customHeight="1" x14ac:dyDescent="0.25">
      <c r="B10" s="12" t="s">
        <v>16</v>
      </c>
      <c r="C10" s="13">
        <f t="shared" ref="C10:N10" si="1">SUM(C6:C9)</f>
        <v>4549</v>
      </c>
      <c r="D10" s="14">
        <f t="shared" si="1"/>
        <v>4948</v>
      </c>
      <c r="E10" s="14">
        <f t="shared" si="1"/>
        <v>4857</v>
      </c>
      <c r="F10" s="14">
        <f t="shared" si="1"/>
        <v>5360</v>
      </c>
      <c r="G10" s="14">
        <f t="shared" si="1"/>
        <v>6316</v>
      </c>
      <c r="H10" s="14">
        <f t="shared" si="1"/>
        <v>6181</v>
      </c>
      <c r="I10" s="14">
        <f t="shared" si="1"/>
        <v>6005</v>
      </c>
      <c r="J10" s="14">
        <f t="shared" si="1"/>
        <v>6175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/>
      <c r="P10" s="29">
        <f t="shared" si="0"/>
        <v>44391</v>
      </c>
    </row>
    <row r="11" spans="1:16" s="1" customFormat="1" ht="20.100000000000001" customHeight="1" x14ac:dyDescent="0.25">
      <c r="B11" s="33" t="s">
        <v>24</v>
      </c>
      <c r="C11" s="35"/>
      <c r="D11" s="36">
        <f>IF(D10=0,"",D10/C10-1)</f>
        <v>8.7711584963728217E-2</v>
      </c>
      <c r="E11" s="36">
        <f t="shared" ref="E11:N11" si="2">IF(E10=0,"",E10/D10-1)</f>
        <v>-1.8391269199676596E-2</v>
      </c>
      <c r="F11" s="36">
        <f t="shared" si="2"/>
        <v>0.10356186946674906</v>
      </c>
      <c r="G11" s="36">
        <f t="shared" si="2"/>
        <v>0.17835820895522381</v>
      </c>
      <c r="H11" s="36">
        <f t="shared" si="2"/>
        <v>-2.1374287523749258E-2</v>
      </c>
      <c r="I11" s="36">
        <f t="shared" si="2"/>
        <v>-2.8474356900177966E-2</v>
      </c>
      <c r="J11" s="36">
        <f t="shared" si="2"/>
        <v>2.8309741881765271E-2</v>
      </c>
      <c r="K11" s="36" t="str">
        <f t="shared" si="2"/>
        <v/>
      </c>
      <c r="L11" s="36" t="str">
        <f t="shared" si="2"/>
        <v/>
      </c>
      <c r="M11" s="36" t="str">
        <f t="shared" si="2"/>
        <v/>
      </c>
      <c r="N11" s="36" t="str">
        <f t="shared" si="2"/>
        <v/>
      </c>
      <c r="O11" s="37"/>
      <c r="P11" s="34"/>
    </row>
    <row r="12" spans="1:16" s="1" customFormat="1" ht="15" customHeight="1" x14ac:dyDescent="0.25">
      <c r="C12" s="2"/>
    </row>
    <row r="13" spans="1:16" s="1" customFormat="1" ht="15" customHeight="1" x14ac:dyDescent="0.25">
      <c r="B13" s="1" t="s">
        <v>17</v>
      </c>
      <c r="C13" s="2"/>
    </row>
    <row r="14" spans="1:16" s="1" customFormat="1" ht="15" customHeight="1" x14ac:dyDescent="0.25">
      <c r="B14" s="1" t="s">
        <v>18</v>
      </c>
      <c r="C14" s="2">
        <f>SUMIFS(Input!$F:$F,Input!$C:$C,Dashboard!C$4,Input!$D:$D,Dashboard!$B14)</f>
        <v>1250</v>
      </c>
      <c r="D14" s="2">
        <f>SUMIFS(Input!$F:$F,Input!$C:$C,Dashboard!D$4,Input!$D:$D,Dashboard!$B14)</f>
        <v>1250</v>
      </c>
      <c r="E14" s="2">
        <f>SUMIFS(Input!$F:$F,Input!$C:$C,Dashboard!E$4,Input!$D:$D,Dashboard!$B14)</f>
        <v>1250</v>
      </c>
      <c r="F14" s="2">
        <f>SUMIFS(Input!$F:$F,Input!$C:$C,Dashboard!F$4,Input!$D:$D,Dashboard!$B14)</f>
        <v>1250</v>
      </c>
      <c r="G14" s="2">
        <f>SUMIFS(Input!$F:$F,Input!$C:$C,Dashboard!G$4,Input!$D:$D,Dashboard!$B14)</f>
        <v>1250</v>
      </c>
      <c r="H14" s="2">
        <f>SUMIFS(Input!$F:$F,Input!$C:$C,Dashboard!H$4,Input!$D:$D,Dashboard!$B14)</f>
        <v>1250</v>
      </c>
      <c r="I14" s="2">
        <f>SUMIFS(Input!$F:$F,Input!$C:$C,Dashboard!I$4,Input!$D:$D,Dashboard!$B14)</f>
        <v>1250</v>
      </c>
      <c r="J14" s="2">
        <f>SUMIFS(Input!$F:$F,Input!$C:$C,Dashboard!J$4,Input!$D:$D,Dashboard!$B14)</f>
        <v>1250</v>
      </c>
      <c r="K14" s="2">
        <f>SUMIFS(Input!$F:$F,Input!$C:$C,Dashboard!K$4,Input!$D:$D,Dashboard!$B14)</f>
        <v>0</v>
      </c>
      <c r="L14" s="2">
        <f>SUMIFS(Input!$F:$F,Input!$C:$C,Dashboard!L$4,Input!$D:$D,Dashboard!$B14)</f>
        <v>0</v>
      </c>
      <c r="M14" s="2">
        <f>SUMIFS(Input!$F:$F,Input!$C:$C,Dashboard!M$4,Input!$D:$D,Dashboard!$B14)</f>
        <v>0</v>
      </c>
      <c r="N14" s="2">
        <f>SUMIFS(Input!$F:$F,Input!$C:$C,Dashboard!N$4,Input!$D:$D,Dashboard!$B14)</f>
        <v>0</v>
      </c>
      <c r="O14" s="2"/>
      <c r="P14" s="2">
        <f>SUM(C14:N14)</f>
        <v>10000</v>
      </c>
    </row>
    <row r="15" spans="1:16" s="1" customFormat="1" ht="15" customHeight="1" x14ac:dyDescent="0.25">
      <c r="B15" s="1" t="s">
        <v>19</v>
      </c>
      <c r="C15" s="2">
        <f>SUMIFS(Input!$F:$F,Input!$C:$C,Dashboard!C$4,Input!$D:$D,Dashboard!$B15)</f>
        <v>140</v>
      </c>
      <c r="D15" s="2">
        <f>SUMIFS(Input!$F:$F,Input!$C:$C,Dashboard!D$4,Input!$D:$D,Dashboard!$B15)</f>
        <v>105</v>
      </c>
      <c r="E15" s="2">
        <f>SUMIFS(Input!$F:$F,Input!$C:$C,Dashboard!E$4,Input!$D:$D,Dashboard!$B15)</f>
        <v>110</v>
      </c>
      <c r="F15" s="2">
        <f>SUMIFS(Input!$F:$F,Input!$C:$C,Dashboard!F$4,Input!$D:$D,Dashboard!$B15)</f>
        <v>140</v>
      </c>
      <c r="G15" s="2">
        <f>SUMIFS(Input!$F:$F,Input!$C:$C,Dashboard!G$4,Input!$D:$D,Dashboard!$B15)</f>
        <v>152</v>
      </c>
      <c r="H15" s="2">
        <f>SUMIFS(Input!$F:$F,Input!$C:$C,Dashboard!H$4,Input!$D:$D,Dashboard!$B15)</f>
        <v>152</v>
      </c>
      <c r="I15" s="2">
        <f>SUMIFS(Input!$F:$F,Input!$C:$C,Dashboard!I$4,Input!$D:$D,Dashboard!$B15)</f>
        <v>110</v>
      </c>
      <c r="J15" s="2">
        <f>SUMIFS(Input!$F:$F,Input!$C:$C,Dashboard!J$4,Input!$D:$D,Dashboard!$B15)</f>
        <v>110</v>
      </c>
      <c r="K15" s="2">
        <f>SUMIFS(Input!$F:$F,Input!$C:$C,Dashboard!K$4,Input!$D:$D,Dashboard!$B15)</f>
        <v>0</v>
      </c>
      <c r="L15" s="2">
        <f>SUMIFS(Input!$F:$F,Input!$C:$C,Dashboard!L$4,Input!$D:$D,Dashboard!$B15)</f>
        <v>0</v>
      </c>
      <c r="M15" s="2">
        <f>SUMIFS(Input!$F:$F,Input!$C:$C,Dashboard!M$4,Input!$D:$D,Dashboard!$B15)</f>
        <v>0</v>
      </c>
      <c r="N15" s="2">
        <f>SUMIFS(Input!$F:$F,Input!$C:$C,Dashboard!N$4,Input!$D:$D,Dashboard!$B15)</f>
        <v>0</v>
      </c>
      <c r="O15" s="2"/>
      <c r="P15" s="2">
        <f t="shared" ref="P15:P21" si="3">SUM(C15:N15)</f>
        <v>1019</v>
      </c>
    </row>
    <row r="16" spans="1:16" s="1" customFormat="1" ht="15" customHeight="1" x14ac:dyDescent="0.25">
      <c r="A16" s="30"/>
      <c r="B16" s="1" t="s">
        <v>20</v>
      </c>
      <c r="C16" s="2">
        <f>SUMIFS(Input!$F:$F,Input!$C:$C,Dashboard!C$4,Input!$D:$D,Dashboard!$B16)</f>
        <v>52</v>
      </c>
      <c r="D16" s="2">
        <f>SUMIFS(Input!$F:$F,Input!$C:$C,Dashboard!D$4,Input!$D:$D,Dashboard!$B16)</f>
        <v>52</v>
      </c>
      <c r="E16" s="2">
        <f>SUMIFS(Input!$F:$F,Input!$C:$C,Dashboard!E$4,Input!$D:$D,Dashboard!$B16)</f>
        <v>52</v>
      </c>
      <c r="F16" s="2">
        <f>SUMIFS(Input!$F:$F,Input!$C:$C,Dashboard!F$4,Input!$D:$D,Dashboard!$B16)</f>
        <v>52</v>
      </c>
      <c r="G16" s="2">
        <f>SUMIFS(Input!$F:$F,Input!$C:$C,Dashboard!G$4,Input!$D:$D,Dashboard!$B16)</f>
        <v>52</v>
      </c>
      <c r="H16" s="2">
        <f>SUMIFS(Input!$F:$F,Input!$C:$C,Dashboard!H$4,Input!$D:$D,Dashboard!$B16)</f>
        <v>52</v>
      </c>
      <c r="I16" s="2">
        <f>SUMIFS(Input!$F:$F,Input!$C:$C,Dashboard!I$4,Input!$D:$D,Dashboard!$B16)</f>
        <v>45</v>
      </c>
      <c r="J16" s="2">
        <f>SUMIFS(Input!$F:$F,Input!$C:$C,Dashboard!J$4,Input!$D:$D,Dashboard!$B16)</f>
        <v>52</v>
      </c>
      <c r="K16" s="2">
        <f>SUMIFS(Input!$F:$F,Input!$C:$C,Dashboard!K$4,Input!$D:$D,Dashboard!$B16)</f>
        <v>0</v>
      </c>
      <c r="L16" s="2">
        <f>SUMIFS(Input!$F:$F,Input!$C:$C,Dashboard!L$4,Input!$D:$D,Dashboard!$B16)</f>
        <v>0</v>
      </c>
      <c r="M16" s="2">
        <f>SUMIFS(Input!$F:$F,Input!$C:$C,Dashboard!M$4,Input!$D:$D,Dashboard!$B16)</f>
        <v>0</v>
      </c>
      <c r="N16" s="2">
        <f>SUMIFS(Input!$F:$F,Input!$C:$C,Dashboard!N$4,Input!$D:$D,Dashboard!$B16)</f>
        <v>0</v>
      </c>
      <c r="O16" s="2"/>
      <c r="P16" s="2">
        <f t="shared" si="3"/>
        <v>409</v>
      </c>
    </row>
    <row r="17" spans="1:16" s="1" customFormat="1" ht="15" customHeight="1" x14ac:dyDescent="0.25">
      <c r="B17" s="1" t="s">
        <v>21</v>
      </c>
      <c r="C17" s="2">
        <f>SUMIFS(Input!$F:$F,Input!$C:$C,Dashboard!C$4,Input!$D:$D,Dashboard!$B17)</f>
        <v>449</v>
      </c>
      <c r="D17" s="2">
        <f>SUMIFS(Input!$F:$F,Input!$C:$C,Dashboard!D$4,Input!$D:$D,Dashboard!$B17)</f>
        <v>305</v>
      </c>
      <c r="E17" s="2">
        <f>SUMIFS(Input!$F:$F,Input!$C:$C,Dashboard!E$4,Input!$D:$D,Dashboard!$B17)</f>
        <v>208</v>
      </c>
      <c r="F17" s="2">
        <f>SUMIFS(Input!$F:$F,Input!$C:$C,Dashboard!F$4,Input!$D:$D,Dashboard!$B17)</f>
        <v>449</v>
      </c>
      <c r="G17" s="2">
        <f>SUMIFS(Input!$F:$F,Input!$C:$C,Dashboard!G$4,Input!$D:$D,Dashboard!$B17)</f>
        <v>449</v>
      </c>
      <c r="H17" s="2">
        <f>SUMIFS(Input!$F:$F,Input!$C:$C,Dashboard!H$4,Input!$D:$D,Dashboard!$B17)</f>
        <v>560</v>
      </c>
      <c r="I17" s="2">
        <f>SUMIFS(Input!$F:$F,Input!$C:$C,Dashboard!I$4,Input!$D:$D,Dashboard!$B17)</f>
        <v>208</v>
      </c>
      <c r="J17" s="2">
        <f>SUMIFS(Input!$F:$F,Input!$C:$C,Dashboard!J$4,Input!$D:$D,Dashboard!$B17)</f>
        <v>208</v>
      </c>
      <c r="K17" s="2">
        <f>SUMIFS(Input!$F:$F,Input!$C:$C,Dashboard!K$4,Input!$D:$D,Dashboard!$B17)</f>
        <v>0</v>
      </c>
      <c r="L17" s="2">
        <f>SUMIFS(Input!$F:$F,Input!$C:$C,Dashboard!L$4,Input!$D:$D,Dashboard!$B17)</f>
        <v>0</v>
      </c>
      <c r="M17" s="2">
        <f>SUMIFS(Input!$F:$F,Input!$C:$C,Dashboard!M$4,Input!$D:$D,Dashboard!$B17)</f>
        <v>0</v>
      </c>
      <c r="N17" s="2">
        <f>SUMIFS(Input!$F:$F,Input!$C:$C,Dashboard!N$4,Input!$D:$D,Dashboard!$B17)</f>
        <v>0</v>
      </c>
      <c r="O17" s="2"/>
      <c r="P17" s="2">
        <f t="shared" si="3"/>
        <v>2836</v>
      </c>
    </row>
    <row r="18" spans="1:16" s="1" customFormat="1" ht="15" customHeight="1" x14ac:dyDescent="0.25">
      <c r="B18" s="1" t="s">
        <v>22</v>
      </c>
      <c r="C18" s="2">
        <f>SUMIFS(Input!$F:$F,Input!$C:$C,Dashboard!C$4,Input!$D:$D,Dashboard!$B18)</f>
        <v>562</v>
      </c>
      <c r="D18" s="2">
        <f>SUMIFS(Input!$F:$F,Input!$C:$C,Dashboard!D$4,Input!$D:$D,Dashboard!$B18)</f>
        <v>194</v>
      </c>
      <c r="E18" s="2">
        <f>SUMIFS(Input!$F:$F,Input!$C:$C,Dashboard!E$4,Input!$D:$D,Dashboard!$B18)</f>
        <v>405</v>
      </c>
      <c r="F18" s="2">
        <f>SUMIFS(Input!$F:$F,Input!$C:$C,Dashboard!F$4,Input!$D:$D,Dashboard!$B18)</f>
        <v>462</v>
      </c>
      <c r="G18" s="2">
        <f>SUMIFS(Input!$F:$F,Input!$C:$C,Dashboard!G$4,Input!$D:$D,Dashboard!$B18)</f>
        <v>646</v>
      </c>
      <c r="H18" s="2">
        <f>SUMIFS(Input!$F:$F,Input!$C:$C,Dashboard!H$4,Input!$D:$D,Dashboard!$B18)</f>
        <v>629</v>
      </c>
      <c r="I18" s="2">
        <f>SUMIFS(Input!$F:$F,Input!$C:$C,Dashboard!I$4,Input!$D:$D,Dashboard!$B18)</f>
        <v>294</v>
      </c>
      <c r="J18" s="2">
        <f>SUMIFS(Input!$F:$F,Input!$C:$C,Dashboard!J$4,Input!$D:$D,Dashboard!$B18)</f>
        <v>147</v>
      </c>
      <c r="K18" s="2">
        <f>SUMIFS(Input!$F:$F,Input!$C:$C,Dashboard!K$4,Input!$D:$D,Dashboard!$B18)</f>
        <v>0</v>
      </c>
      <c r="L18" s="2">
        <f>SUMIFS(Input!$F:$F,Input!$C:$C,Dashboard!L$4,Input!$D:$D,Dashboard!$B18)</f>
        <v>0</v>
      </c>
      <c r="M18" s="2">
        <f>SUMIFS(Input!$F:$F,Input!$C:$C,Dashboard!M$4,Input!$D:$D,Dashboard!$B18)</f>
        <v>0</v>
      </c>
      <c r="N18" s="2">
        <f>SUMIFS(Input!$F:$F,Input!$C:$C,Dashboard!N$4,Input!$D:$D,Dashboard!$B18)</f>
        <v>0</v>
      </c>
      <c r="O18" s="2"/>
      <c r="P18" s="2">
        <f t="shared" si="3"/>
        <v>3339</v>
      </c>
    </row>
    <row r="19" spans="1:16" s="1" customFormat="1" ht="15" customHeight="1" x14ac:dyDescent="0.25">
      <c r="B19" s="1" t="s">
        <v>23</v>
      </c>
      <c r="C19" s="2">
        <f>SUMIFS(Input!$F:$F,Input!$C:$C,Dashboard!C$4,Input!$D:$D,Dashboard!$B19)</f>
        <v>249</v>
      </c>
      <c r="D19" s="2">
        <f>SUMIFS(Input!$F:$F,Input!$C:$C,Dashboard!D$4,Input!$D:$D,Dashboard!$B19)</f>
        <v>18</v>
      </c>
      <c r="E19" s="2">
        <f>SUMIFS(Input!$F:$F,Input!$C:$C,Dashboard!E$4,Input!$D:$D,Dashboard!$B19)</f>
        <v>199</v>
      </c>
      <c r="F19" s="2">
        <f>SUMIFS(Input!$F:$F,Input!$C:$C,Dashboard!F$4,Input!$D:$D,Dashboard!$B19)</f>
        <v>249</v>
      </c>
      <c r="G19" s="2">
        <f>SUMIFS(Input!$F:$F,Input!$C:$C,Dashboard!G$4,Input!$D:$D,Dashboard!$B19)</f>
        <v>249</v>
      </c>
      <c r="H19" s="2">
        <f>SUMIFS(Input!$F:$F,Input!$C:$C,Dashboard!H$4,Input!$D:$D,Dashboard!$B19)</f>
        <v>0</v>
      </c>
      <c r="I19" s="2">
        <f>SUMIFS(Input!$F:$F,Input!$C:$C,Dashboard!I$4,Input!$D:$D,Dashboard!$B19)</f>
        <v>399</v>
      </c>
      <c r="J19" s="2">
        <f>SUMIFS(Input!$F:$F,Input!$C:$C,Dashboard!J$4,Input!$D:$D,Dashboard!$B19)</f>
        <v>149</v>
      </c>
      <c r="K19" s="2">
        <f>SUMIFS(Input!$F:$F,Input!$C:$C,Dashboard!K$4,Input!$D:$D,Dashboard!$B19)</f>
        <v>0</v>
      </c>
      <c r="L19" s="2">
        <f>SUMIFS(Input!$F:$F,Input!$C:$C,Dashboard!L$4,Input!$D:$D,Dashboard!$B19)</f>
        <v>0</v>
      </c>
      <c r="M19" s="2">
        <f>SUMIFS(Input!$F:$F,Input!$C:$C,Dashboard!M$4,Input!$D:$D,Dashboard!$B19)</f>
        <v>0</v>
      </c>
      <c r="N19" s="2">
        <f>SUMIFS(Input!$F:$F,Input!$C:$C,Dashboard!N$4,Input!$D:$D,Dashboard!$B19)</f>
        <v>0</v>
      </c>
      <c r="O19" s="2"/>
      <c r="P19" s="2">
        <f t="shared" si="3"/>
        <v>1512</v>
      </c>
    </row>
    <row r="20" spans="1:16" x14ac:dyDescent="0.25">
      <c r="B20" s="1"/>
      <c r="P20" s="2">
        <f t="shared" si="3"/>
        <v>0</v>
      </c>
    </row>
    <row r="21" spans="1:16" s="1" customFormat="1" ht="20.100000000000001" customHeight="1" x14ac:dyDescent="0.25">
      <c r="B21" s="31" t="s">
        <v>26</v>
      </c>
      <c r="C21" s="13">
        <f t="shared" ref="C21:N21" si="4">SUM(C14:C20)</f>
        <v>2702</v>
      </c>
      <c r="D21" s="14">
        <f t="shared" si="4"/>
        <v>1924</v>
      </c>
      <c r="E21" s="14">
        <f t="shared" si="4"/>
        <v>2224</v>
      </c>
      <c r="F21" s="14">
        <f t="shared" si="4"/>
        <v>2602</v>
      </c>
      <c r="G21" s="14">
        <f t="shared" si="4"/>
        <v>2798</v>
      </c>
      <c r="H21" s="14">
        <f t="shared" si="4"/>
        <v>2643</v>
      </c>
      <c r="I21" s="14">
        <f t="shared" si="4"/>
        <v>2306</v>
      </c>
      <c r="J21" s="14">
        <f t="shared" si="4"/>
        <v>1916</v>
      </c>
      <c r="K21" s="14">
        <f t="shared" si="4"/>
        <v>0</v>
      </c>
      <c r="L21" s="14">
        <f t="shared" si="4"/>
        <v>0</v>
      </c>
      <c r="M21" s="14">
        <f t="shared" si="4"/>
        <v>0</v>
      </c>
      <c r="N21" s="14">
        <f t="shared" si="4"/>
        <v>0</v>
      </c>
      <c r="O21" s="38"/>
      <c r="P21" s="29">
        <f t="shared" si="3"/>
        <v>19115</v>
      </c>
    </row>
    <row r="22" spans="1:16" s="1" customFormat="1" ht="20.100000000000001" customHeight="1" x14ac:dyDescent="0.25">
      <c r="B22" s="32" t="s">
        <v>24</v>
      </c>
      <c r="C22" s="15"/>
      <c r="D22" s="36">
        <f>IF(D21=0,"",D21/C21-1)</f>
        <v>-0.28793486306439675</v>
      </c>
      <c r="E22" s="36">
        <f t="shared" ref="E22" si="5">IF(E21=0,"",E21/D21-1)</f>
        <v>0.15592515592515599</v>
      </c>
      <c r="F22" s="36">
        <f t="shared" ref="F22" si="6">IF(F21=0,"",F21/E21-1)</f>
        <v>0.16996402877697836</v>
      </c>
      <c r="G22" s="36">
        <f t="shared" ref="G22" si="7">IF(G21=0,"",G21/F21-1)</f>
        <v>7.532667179093E-2</v>
      </c>
      <c r="H22" s="36">
        <f t="shared" ref="H22" si="8">IF(H21=0,"",H21/G21-1)</f>
        <v>-5.5396711937097942E-2</v>
      </c>
      <c r="I22" s="36">
        <f t="shared" ref="I22" si="9">IF(I21=0,"",I21/H21-1)</f>
        <v>-0.12750662126371548</v>
      </c>
      <c r="J22" s="36">
        <f t="shared" ref="J22" si="10">IF(J21=0,"",J21/I21-1)</f>
        <v>-0.16912402428447526</v>
      </c>
      <c r="K22" s="36" t="str">
        <f t="shared" ref="K22" si="11">IF(K21=0,"",K21/J21-1)</f>
        <v/>
      </c>
      <c r="L22" s="36" t="str">
        <f t="shared" ref="L22" si="12">IF(L21=0,"",L21/K21-1)</f>
        <v/>
      </c>
      <c r="M22" s="36" t="str">
        <f t="shared" ref="M22" si="13">IF(M21=0,"",M21/L21-1)</f>
        <v/>
      </c>
      <c r="N22" s="36" t="str">
        <f t="shared" ref="N22" si="14">IF(N21=0,"",N21/M21-1)</f>
        <v/>
      </c>
      <c r="O22" s="37"/>
      <c r="P22" s="16"/>
    </row>
    <row r="23" spans="1:16" x14ac:dyDescent="0.25">
      <c r="B23" s="30"/>
      <c r="O23" s="7"/>
    </row>
    <row r="24" spans="1:16" ht="20.100000000000001" customHeight="1" x14ac:dyDescent="0.25">
      <c r="B24" s="41" t="s">
        <v>25</v>
      </c>
      <c r="C24" s="42">
        <f>C10-C21</f>
        <v>1847</v>
      </c>
      <c r="D24" s="42">
        <f t="shared" ref="D24:N24" si="15">D10-D21</f>
        <v>3024</v>
      </c>
      <c r="E24" s="42">
        <f t="shared" si="15"/>
        <v>2633</v>
      </c>
      <c r="F24" s="42">
        <f t="shared" si="15"/>
        <v>2758</v>
      </c>
      <c r="G24" s="42">
        <f t="shared" si="15"/>
        <v>3518</v>
      </c>
      <c r="H24" s="42">
        <f t="shared" si="15"/>
        <v>3538</v>
      </c>
      <c r="I24" s="42">
        <f t="shared" si="15"/>
        <v>3699</v>
      </c>
      <c r="J24" s="42">
        <f t="shared" si="15"/>
        <v>4259</v>
      </c>
      <c r="K24" s="42">
        <f t="shared" si="15"/>
        <v>0</v>
      </c>
      <c r="L24" s="42">
        <f t="shared" si="15"/>
        <v>0</v>
      </c>
      <c r="M24" s="42">
        <f t="shared" si="15"/>
        <v>0</v>
      </c>
      <c r="N24" s="42">
        <f t="shared" si="15"/>
        <v>0</v>
      </c>
      <c r="O24" s="43"/>
      <c r="P24" s="44">
        <f>SUM(C24:N24)</f>
        <v>25276</v>
      </c>
    </row>
    <row r="25" spans="1:16" ht="20.100000000000001" customHeight="1" x14ac:dyDescent="0.25">
      <c r="B25" s="45" t="s">
        <v>24</v>
      </c>
      <c r="C25" s="46"/>
      <c r="D25" s="39">
        <f>IF(D24=0,"",D24/C24-1)</f>
        <v>0.63724959393611269</v>
      </c>
      <c r="E25" s="39">
        <f t="shared" ref="E25" si="16">IF(E24=0,"",E24/D24-1)</f>
        <v>-0.12929894179894175</v>
      </c>
      <c r="F25" s="39">
        <f t="shared" ref="F25" si="17">IF(F24=0,"",F24/E24-1)</f>
        <v>4.7474363843524436E-2</v>
      </c>
      <c r="G25" s="39">
        <f t="shared" ref="G25" si="18">IF(G24=0,"",G24/F24-1)</f>
        <v>0.27556200145032639</v>
      </c>
      <c r="H25" s="39">
        <f t="shared" ref="H25" si="19">IF(H24=0,"",H24/G24-1)</f>
        <v>5.685048322910724E-3</v>
      </c>
      <c r="I25" s="39">
        <f t="shared" ref="I25" si="20">IF(I24=0,"",I24/H24-1)</f>
        <v>4.5505935556811705E-2</v>
      </c>
      <c r="J25" s="39">
        <f t="shared" ref="J25" si="21">IF(J24=0,"",J24/I24-1)</f>
        <v>0.15139226818058926</v>
      </c>
      <c r="K25" s="39" t="str">
        <f t="shared" ref="K25" si="22">IF(K24=0,"",K24/J24-1)</f>
        <v/>
      </c>
      <c r="L25" s="39" t="str">
        <f t="shared" ref="L25" si="23">IF(L24=0,"",L24/K24-1)</f>
        <v/>
      </c>
      <c r="M25" s="39" t="str">
        <f t="shared" ref="M25" si="24">IF(M24=0,"",M24/L24-1)</f>
        <v/>
      </c>
      <c r="N25" s="39" t="str">
        <f t="shared" ref="N25" si="25">IF(N24=0,"",N24/M24-1)</f>
        <v/>
      </c>
      <c r="O25" s="40"/>
      <c r="P25" s="47"/>
    </row>
    <row r="26" spans="1:16" x14ac:dyDescent="0.25">
      <c r="O26" s="7"/>
    </row>
    <row r="27" spans="1:16" x14ac:dyDescent="0.25">
      <c r="O27" s="7"/>
    </row>
    <row r="28" spans="1:16" ht="15.75" x14ac:dyDescent="0.25">
      <c r="A28" s="50"/>
      <c r="B28" s="49" t="s">
        <v>66</v>
      </c>
      <c r="C28" s="48"/>
      <c r="H28" s="49" t="s">
        <v>67</v>
      </c>
      <c r="I28" s="48"/>
      <c r="J28" s="49"/>
      <c r="O28" s="7"/>
    </row>
    <row r="29" spans="1:16" x14ac:dyDescent="0.25">
      <c r="O29" s="7"/>
    </row>
    <row r="30" spans="1:16" x14ac:dyDescent="0.25">
      <c r="O30" s="7"/>
    </row>
    <row r="31" spans="1:16" x14ac:dyDescent="0.25">
      <c r="O31" s="7"/>
    </row>
    <row r="32" spans="1:16" x14ac:dyDescent="0.25">
      <c r="O32" s="7"/>
    </row>
  </sheetData>
  <conditionalFormatting sqref="D11:N11">
    <cfRule type="cellIs" dxfId="5" priority="7" operator="lessThan">
      <formula>18</formula>
    </cfRule>
    <cfRule type="cellIs" dxfId="4" priority="8" operator="greaterThan">
      <formula>0</formula>
    </cfRule>
  </conditionalFormatting>
  <conditionalFormatting sqref="D22:N22">
    <cfRule type="cellIs" dxfId="3" priority="3" operator="lessThan">
      <formula>18</formula>
    </cfRule>
    <cfRule type="cellIs" dxfId="2" priority="4" operator="greaterThan">
      <formula>0</formula>
    </cfRule>
  </conditionalFormatting>
  <conditionalFormatting sqref="D25:N25">
    <cfRule type="cellIs" dxfId="1" priority="1" operator="lessThan">
      <formula>18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FF19-286C-4EBF-8234-0C8B2F16C4D9}">
  <dimension ref="B2:H95"/>
  <sheetViews>
    <sheetView showGridLines="0" workbookViewId="0">
      <pane ySplit="3" topLeftCell="A4" activePane="bottomLeft" state="frozen"/>
      <selection pane="bottomLeft" activeCell="D27" sqref="D27"/>
    </sheetView>
  </sheetViews>
  <sheetFormatPr defaultRowHeight="15.75" x14ac:dyDescent="0.25"/>
  <cols>
    <col min="1" max="1" width="9.140625" style="19"/>
    <col min="2" max="4" width="13.85546875" style="19" customWidth="1"/>
    <col min="5" max="5" width="28.85546875" style="19" customWidth="1"/>
    <col min="6" max="6" width="15" style="19" customWidth="1"/>
    <col min="7" max="7" width="9.140625" style="19"/>
    <col min="8" max="8" width="16.140625" style="19" customWidth="1"/>
    <col min="9" max="16384" width="9.140625" style="19"/>
  </cols>
  <sheetData>
    <row r="2" spans="2:8" ht="29.25" customHeight="1" x14ac:dyDescent="0.25">
      <c r="B2" s="24" t="s">
        <v>30</v>
      </c>
      <c r="C2" s="23"/>
      <c r="D2" s="23"/>
      <c r="E2" s="23"/>
      <c r="F2" s="23"/>
      <c r="G2" s="23"/>
      <c r="H2" s="23"/>
    </row>
    <row r="4" spans="2:8" x14ac:dyDescent="0.25">
      <c r="B4" s="20" t="s">
        <v>31</v>
      </c>
      <c r="C4" s="20" t="s">
        <v>32</v>
      </c>
      <c r="D4" s="20" t="s">
        <v>33</v>
      </c>
      <c r="E4" s="20" t="s">
        <v>34</v>
      </c>
      <c r="F4" s="20" t="s">
        <v>35</v>
      </c>
      <c r="H4" s="17" t="s">
        <v>65</v>
      </c>
    </row>
    <row r="5" spans="2:8" x14ac:dyDescent="0.25">
      <c r="B5" s="21">
        <v>44562</v>
      </c>
      <c r="C5" s="4" t="str">
        <f t="shared" ref="C5:C57" si="0">TEXT(B5,"MMMM")</f>
        <v>January</v>
      </c>
      <c r="D5" s="4" t="s">
        <v>18</v>
      </c>
      <c r="E5" s="4" t="s">
        <v>36</v>
      </c>
      <c r="F5" s="22">
        <v>1250</v>
      </c>
      <c r="H5" s="18" t="s">
        <v>13</v>
      </c>
    </row>
    <row r="6" spans="2:8" x14ac:dyDescent="0.25">
      <c r="B6" s="21">
        <v>44562</v>
      </c>
      <c r="C6" s="4" t="str">
        <f t="shared" si="0"/>
        <v>January</v>
      </c>
      <c r="D6" s="4" t="s">
        <v>19</v>
      </c>
      <c r="E6" s="4" t="s">
        <v>37</v>
      </c>
      <c r="F6" s="22">
        <v>140</v>
      </c>
      <c r="H6" s="18" t="s">
        <v>44</v>
      </c>
    </row>
    <row r="7" spans="2:8" x14ac:dyDescent="0.25">
      <c r="B7" s="21">
        <v>44562</v>
      </c>
      <c r="C7" s="4" t="str">
        <f t="shared" si="0"/>
        <v>January</v>
      </c>
      <c r="D7" s="4" t="s">
        <v>20</v>
      </c>
      <c r="E7" s="4" t="s">
        <v>38</v>
      </c>
      <c r="F7" s="22">
        <v>52</v>
      </c>
      <c r="H7" s="18" t="s">
        <v>14</v>
      </c>
    </row>
    <row r="8" spans="2:8" x14ac:dyDescent="0.25">
      <c r="B8" s="21">
        <v>44569</v>
      </c>
      <c r="C8" s="4" t="str">
        <f t="shared" si="0"/>
        <v>January</v>
      </c>
      <c r="D8" s="4" t="s">
        <v>21</v>
      </c>
      <c r="E8" s="4" t="s">
        <v>39</v>
      </c>
      <c r="F8" s="22">
        <v>449</v>
      </c>
      <c r="H8" s="18" t="s">
        <v>15</v>
      </c>
    </row>
    <row r="9" spans="2:8" x14ac:dyDescent="0.25">
      <c r="B9" s="21">
        <v>44572</v>
      </c>
      <c r="C9" s="4" t="str">
        <f t="shared" si="0"/>
        <v>January</v>
      </c>
      <c r="D9" s="4" t="s">
        <v>22</v>
      </c>
      <c r="E9" s="4" t="s">
        <v>40</v>
      </c>
      <c r="F9" s="22">
        <v>245</v>
      </c>
      <c r="H9" s="18" t="s">
        <v>18</v>
      </c>
    </row>
    <row r="10" spans="2:8" x14ac:dyDescent="0.25">
      <c r="B10" s="21">
        <v>44573</v>
      </c>
      <c r="C10" s="4" t="str">
        <f t="shared" si="0"/>
        <v>January</v>
      </c>
      <c r="D10" s="4" t="s">
        <v>22</v>
      </c>
      <c r="E10" s="4" t="s">
        <v>41</v>
      </c>
      <c r="F10" s="22">
        <v>168</v>
      </c>
      <c r="H10" s="18" t="s">
        <v>19</v>
      </c>
    </row>
    <row r="11" spans="2:8" x14ac:dyDescent="0.25">
      <c r="B11" s="21">
        <v>44573</v>
      </c>
      <c r="C11" s="4" t="str">
        <f t="shared" si="0"/>
        <v>January</v>
      </c>
      <c r="D11" s="4" t="s">
        <v>22</v>
      </c>
      <c r="E11" s="4" t="s">
        <v>42</v>
      </c>
      <c r="F11" s="22">
        <v>149</v>
      </c>
      <c r="H11" s="18" t="s">
        <v>20</v>
      </c>
    </row>
    <row r="12" spans="2:8" x14ac:dyDescent="0.25">
      <c r="B12" s="21">
        <v>44575</v>
      </c>
      <c r="C12" s="4" t="str">
        <f t="shared" si="0"/>
        <v>January</v>
      </c>
      <c r="D12" s="4" t="s">
        <v>23</v>
      </c>
      <c r="E12" s="4" t="s">
        <v>43</v>
      </c>
      <c r="F12" s="22">
        <v>249</v>
      </c>
      <c r="H12" s="18" t="s">
        <v>21</v>
      </c>
    </row>
    <row r="13" spans="2:8" x14ac:dyDescent="0.25">
      <c r="B13" s="21">
        <v>44592</v>
      </c>
      <c r="C13" s="4" t="str">
        <f t="shared" si="0"/>
        <v>January</v>
      </c>
      <c r="D13" s="4" t="s">
        <v>44</v>
      </c>
      <c r="E13" s="4" t="s">
        <v>45</v>
      </c>
      <c r="F13" s="22">
        <v>850</v>
      </c>
      <c r="H13" s="18" t="s">
        <v>22</v>
      </c>
    </row>
    <row r="14" spans="2:8" x14ac:dyDescent="0.25">
      <c r="B14" s="21">
        <v>44592</v>
      </c>
      <c r="C14" s="4" t="str">
        <f t="shared" si="0"/>
        <v>January</v>
      </c>
      <c r="D14" s="4" t="s">
        <v>13</v>
      </c>
      <c r="E14" s="4" t="s">
        <v>46</v>
      </c>
      <c r="F14" s="22">
        <v>3500</v>
      </c>
      <c r="H14" s="18" t="s">
        <v>23</v>
      </c>
    </row>
    <row r="15" spans="2:8" x14ac:dyDescent="0.25">
      <c r="B15" s="21">
        <v>44592</v>
      </c>
      <c r="C15" s="4" t="str">
        <f t="shared" si="0"/>
        <v>January</v>
      </c>
      <c r="D15" s="4" t="s">
        <v>14</v>
      </c>
      <c r="E15" s="4" t="s">
        <v>47</v>
      </c>
      <c r="F15" s="22">
        <v>199</v>
      </c>
    </row>
    <row r="16" spans="2:8" x14ac:dyDescent="0.25">
      <c r="B16" s="21">
        <v>44593</v>
      </c>
      <c r="C16" s="4" t="str">
        <f t="shared" si="0"/>
        <v>February</v>
      </c>
      <c r="D16" s="4" t="s">
        <v>18</v>
      </c>
      <c r="E16" s="4" t="s">
        <v>36</v>
      </c>
      <c r="F16" s="22">
        <v>1250</v>
      </c>
    </row>
    <row r="17" spans="2:6" x14ac:dyDescent="0.25">
      <c r="B17" s="21">
        <v>44593</v>
      </c>
      <c r="C17" s="4" t="str">
        <f t="shared" si="0"/>
        <v>February</v>
      </c>
      <c r="D17" s="4" t="s">
        <v>19</v>
      </c>
      <c r="E17" s="4" t="s">
        <v>48</v>
      </c>
      <c r="F17" s="22">
        <v>105</v>
      </c>
    </row>
    <row r="18" spans="2:6" x14ac:dyDescent="0.25">
      <c r="B18" s="21">
        <v>44593</v>
      </c>
      <c r="C18" s="4" t="str">
        <f t="shared" si="0"/>
        <v>February</v>
      </c>
      <c r="D18" s="4" t="s">
        <v>20</v>
      </c>
      <c r="E18" s="4" t="s">
        <v>38</v>
      </c>
      <c r="F18" s="22">
        <v>52</v>
      </c>
    </row>
    <row r="19" spans="2:6" x14ac:dyDescent="0.25">
      <c r="B19" s="21">
        <v>44600</v>
      </c>
      <c r="C19" s="4" t="str">
        <f t="shared" si="0"/>
        <v>February</v>
      </c>
      <c r="D19" s="4" t="s">
        <v>21</v>
      </c>
      <c r="E19" s="4" t="s">
        <v>39</v>
      </c>
      <c r="F19" s="22">
        <v>305</v>
      </c>
    </row>
    <row r="20" spans="2:6" x14ac:dyDescent="0.25">
      <c r="B20" s="21">
        <v>44603</v>
      </c>
      <c r="C20" s="4" t="str">
        <f t="shared" si="0"/>
        <v>February</v>
      </c>
      <c r="D20" s="4" t="s">
        <v>22</v>
      </c>
      <c r="E20" s="4" t="s">
        <v>49</v>
      </c>
      <c r="F20" s="22">
        <v>28</v>
      </c>
    </row>
    <row r="21" spans="2:6" x14ac:dyDescent="0.25">
      <c r="B21" s="21">
        <v>44604</v>
      </c>
      <c r="C21" s="4" t="str">
        <f t="shared" si="0"/>
        <v>February</v>
      </c>
      <c r="D21" s="4" t="s">
        <v>22</v>
      </c>
      <c r="E21" s="4" t="s">
        <v>50</v>
      </c>
      <c r="F21" s="22">
        <v>99</v>
      </c>
    </row>
    <row r="22" spans="2:6" x14ac:dyDescent="0.25">
      <c r="B22" s="21">
        <v>44604</v>
      </c>
      <c r="C22" s="4" t="str">
        <f t="shared" si="0"/>
        <v>February</v>
      </c>
      <c r="D22" s="4" t="s">
        <v>22</v>
      </c>
      <c r="E22" s="4" t="s">
        <v>51</v>
      </c>
      <c r="F22" s="22">
        <v>67</v>
      </c>
    </row>
    <row r="23" spans="2:6" x14ac:dyDescent="0.25">
      <c r="B23" s="21">
        <v>44606</v>
      </c>
      <c r="C23" s="4" t="str">
        <f t="shared" si="0"/>
        <v>February</v>
      </c>
      <c r="D23" s="4" t="s">
        <v>23</v>
      </c>
      <c r="E23" s="4" t="s">
        <v>52</v>
      </c>
      <c r="F23" s="22">
        <v>18</v>
      </c>
    </row>
    <row r="24" spans="2:6" x14ac:dyDescent="0.25">
      <c r="B24" s="21">
        <v>44620</v>
      </c>
      <c r="C24" s="4" t="str">
        <f t="shared" si="0"/>
        <v>February</v>
      </c>
      <c r="D24" s="4" t="s">
        <v>44</v>
      </c>
      <c r="E24" s="4" t="s">
        <v>45</v>
      </c>
      <c r="F24" s="22">
        <v>1025</v>
      </c>
    </row>
    <row r="25" spans="2:6" x14ac:dyDescent="0.25">
      <c r="B25" s="21">
        <v>44620</v>
      </c>
      <c r="C25" s="4" t="str">
        <f t="shared" si="0"/>
        <v>February</v>
      </c>
      <c r="D25" s="4" t="s">
        <v>13</v>
      </c>
      <c r="E25" s="4" t="s">
        <v>46</v>
      </c>
      <c r="F25" s="22">
        <v>3500</v>
      </c>
    </row>
    <row r="26" spans="2:6" x14ac:dyDescent="0.25">
      <c r="B26" s="21">
        <v>44620</v>
      </c>
      <c r="C26" s="4" t="str">
        <f t="shared" si="0"/>
        <v>February</v>
      </c>
      <c r="D26" s="4" t="s">
        <v>14</v>
      </c>
      <c r="E26" s="4" t="s">
        <v>47</v>
      </c>
      <c r="F26" s="22">
        <v>228</v>
      </c>
    </row>
    <row r="27" spans="2:6" x14ac:dyDescent="0.25">
      <c r="B27" s="21">
        <v>44620</v>
      </c>
      <c r="C27" s="4" t="str">
        <f t="shared" si="0"/>
        <v>February</v>
      </c>
      <c r="D27" s="4" t="s">
        <v>15</v>
      </c>
      <c r="E27" s="4" t="s">
        <v>53</v>
      </c>
      <c r="F27" s="22">
        <v>195</v>
      </c>
    </row>
    <row r="28" spans="2:6" x14ac:dyDescent="0.25">
      <c r="B28" s="21">
        <v>44621</v>
      </c>
      <c r="C28" s="4" t="str">
        <f t="shared" si="0"/>
        <v>March</v>
      </c>
      <c r="D28" s="4" t="s">
        <v>18</v>
      </c>
      <c r="E28" s="4" t="s">
        <v>36</v>
      </c>
      <c r="F28" s="22">
        <v>1250</v>
      </c>
    </row>
    <row r="29" spans="2:6" x14ac:dyDescent="0.25">
      <c r="B29" s="21">
        <v>44621</v>
      </c>
      <c r="C29" s="4" t="str">
        <f t="shared" si="0"/>
        <v>March</v>
      </c>
      <c r="D29" s="4" t="s">
        <v>19</v>
      </c>
      <c r="E29" s="4" t="s">
        <v>48</v>
      </c>
      <c r="F29" s="22">
        <v>110</v>
      </c>
    </row>
    <row r="30" spans="2:6" x14ac:dyDescent="0.25">
      <c r="B30" s="21">
        <v>44621</v>
      </c>
      <c r="C30" s="4" t="str">
        <f t="shared" si="0"/>
        <v>March</v>
      </c>
      <c r="D30" s="4" t="s">
        <v>20</v>
      </c>
      <c r="E30" s="4" t="s">
        <v>38</v>
      </c>
      <c r="F30" s="22">
        <v>52</v>
      </c>
    </row>
    <row r="31" spans="2:6" x14ac:dyDescent="0.25">
      <c r="B31" s="21">
        <v>44628</v>
      </c>
      <c r="C31" s="4" t="str">
        <f t="shared" si="0"/>
        <v>March</v>
      </c>
      <c r="D31" s="4" t="s">
        <v>21</v>
      </c>
      <c r="E31" s="4" t="s">
        <v>39</v>
      </c>
      <c r="F31" s="22">
        <v>208</v>
      </c>
    </row>
    <row r="32" spans="2:6" x14ac:dyDescent="0.25">
      <c r="B32" s="21">
        <v>44631</v>
      </c>
      <c r="C32" s="4" t="str">
        <f t="shared" si="0"/>
        <v>March</v>
      </c>
      <c r="D32" s="4" t="s">
        <v>22</v>
      </c>
      <c r="E32" s="4" t="s">
        <v>54</v>
      </c>
      <c r="F32" s="22">
        <v>188</v>
      </c>
    </row>
    <row r="33" spans="2:6" x14ac:dyDescent="0.25">
      <c r="B33" s="21">
        <v>44632</v>
      </c>
      <c r="C33" s="4" t="str">
        <f t="shared" si="0"/>
        <v>March</v>
      </c>
      <c r="D33" s="4" t="s">
        <v>22</v>
      </c>
      <c r="E33" s="4" t="s">
        <v>55</v>
      </c>
      <c r="F33" s="22">
        <v>168</v>
      </c>
    </row>
    <row r="34" spans="2:6" x14ac:dyDescent="0.25">
      <c r="B34" s="21">
        <v>44632</v>
      </c>
      <c r="C34" s="4" t="str">
        <f t="shared" si="0"/>
        <v>March</v>
      </c>
      <c r="D34" s="4" t="s">
        <v>22</v>
      </c>
      <c r="E34" s="4" t="s">
        <v>56</v>
      </c>
      <c r="F34" s="22">
        <v>49</v>
      </c>
    </row>
    <row r="35" spans="2:6" x14ac:dyDescent="0.25">
      <c r="B35" s="21">
        <v>44634</v>
      </c>
      <c r="C35" s="4" t="str">
        <f t="shared" si="0"/>
        <v>March</v>
      </c>
      <c r="D35" s="4" t="s">
        <v>23</v>
      </c>
      <c r="E35" s="4" t="s">
        <v>43</v>
      </c>
      <c r="F35" s="22">
        <v>199</v>
      </c>
    </row>
    <row r="36" spans="2:6" x14ac:dyDescent="0.25">
      <c r="B36" s="21">
        <v>44648</v>
      </c>
      <c r="C36" s="4" t="str">
        <f t="shared" si="0"/>
        <v>March</v>
      </c>
      <c r="D36" s="4" t="s">
        <v>44</v>
      </c>
      <c r="E36" s="4" t="s">
        <v>45</v>
      </c>
      <c r="F36" s="22">
        <v>999</v>
      </c>
    </row>
    <row r="37" spans="2:6" x14ac:dyDescent="0.25">
      <c r="B37" s="21">
        <v>44648</v>
      </c>
      <c r="C37" s="4" t="str">
        <f t="shared" si="0"/>
        <v>March</v>
      </c>
      <c r="D37" s="4" t="s">
        <v>13</v>
      </c>
      <c r="E37" s="4" t="s">
        <v>46</v>
      </c>
      <c r="F37" s="22">
        <v>3500</v>
      </c>
    </row>
    <row r="38" spans="2:6" x14ac:dyDescent="0.25">
      <c r="B38" s="21">
        <v>44648</v>
      </c>
      <c r="C38" s="4" t="str">
        <f t="shared" si="0"/>
        <v>March</v>
      </c>
      <c r="D38" s="4" t="s">
        <v>15</v>
      </c>
      <c r="E38" s="4" t="s">
        <v>53</v>
      </c>
      <c r="F38" s="22">
        <v>299</v>
      </c>
    </row>
    <row r="39" spans="2:6" x14ac:dyDescent="0.25">
      <c r="B39" s="21">
        <v>44648</v>
      </c>
      <c r="C39" s="4" t="str">
        <f t="shared" si="0"/>
        <v>March</v>
      </c>
      <c r="D39" s="4" t="s">
        <v>14</v>
      </c>
      <c r="E39" s="4" t="s">
        <v>47</v>
      </c>
      <c r="F39" s="22">
        <v>59</v>
      </c>
    </row>
    <row r="40" spans="2:6" x14ac:dyDescent="0.25">
      <c r="B40" s="21">
        <v>44652</v>
      </c>
      <c r="C40" s="4" t="str">
        <f t="shared" si="0"/>
        <v>April</v>
      </c>
      <c r="D40" s="4" t="s">
        <v>18</v>
      </c>
      <c r="E40" s="4" t="s">
        <v>36</v>
      </c>
      <c r="F40" s="22">
        <v>1250</v>
      </c>
    </row>
    <row r="41" spans="2:6" x14ac:dyDescent="0.25">
      <c r="B41" s="21">
        <v>44652</v>
      </c>
      <c r="C41" s="4" t="str">
        <f t="shared" si="0"/>
        <v>April</v>
      </c>
      <c r="D41" s="4" t="s">
        <v>19</v>
      </c>
      <c r="E41" s="4" t="s">
        <v>37</v>
      </c>
      <c r="F41" s="22">
        <v>140</v>
      </c>
    </row>
    <row r="42" spans="2:6" x14ac:dyDescent="0.25">
      <c r="B42" s="21">
        <v>44652</v>
      </c>
      <c r="C42" s="4" t="str">
        <f t="shared" si="0"/>
        <v>April</v>
      </c>
      <c r="D42" s="4" t="s">
        <v>20</v>
      </c>
      <c r="E42" s="4" t="s">
        <v>38</v>
      </c>
      <c r="F42" s="22">
        <v>52</v>
      </c>
    </row>
    <row r="43" spans="2:6" x14ac:dyDescent="0.25">
      <c r="B43" s="21">
        <v>44659</v>
      </c>
      <c r="C43" s="4" t="str">
        <f t="shared" si="0"/>
        <v>April</v>
      </c>
      <c r="D43" s="4" t="s">
        <v>21</v>
      </c>
      <c r="E43" s="4" t="s">
        <v>39</v>
      </c>
      <c r="F43" s="22">
        <v>449</v>
      </c>
    </row>
    <row r="44" spans="2:6" x14ac:dyDescent="0.25">
      <c r="B44" s="21">
        <v>44659</v>
      </c>
      <c r="C44" s="4" t="str">
        <f t="shared" si="0"/>
        <v>April</v>
      </c>
      <c r="D44" s="4" t="s">
        <v>15</v>
      </c>
      <c r="E44" s="4" t="s">
        <v>53</v>
      </c>
      <c r="F44" s="22">
        <v>359</v>
      </c>
    </row>
    <row r="45" spans="2:6" x14ac:dyDescent="0.25">
      <c r="B45" s="21">
        <v>44662</v>
      </c>
      <c r="C45" s="4" t="str">
        <f t="shared" si="0"/>
        <v>April</v>
      </c>
      <c r="D45" s="4" t="s">
        <v>22</v>
      </c>
      <c r="E45" s="4" t="s">
        <v>57</v>
      </c>
      <c r="F45" s="22">
        <v>245</v>
      </c>
    </row>
    <row r="46" spans="2:6" x14ac:dyDescent="0.25">
      <c r="B46" s="21">
        <v>44663</v>
      </c>
      <c r="C46" s="4" t="str">
        <f t="shared" si="0"/>
        <v>April</v>
      </c>
      <c r="D46" s="4" t="s">
        <v>22</v>
      </c>
      <c r="E46" s="4" t="s">
        <v>41</v>
      </c>
      <c r="F46" s="22">
        <v>168</v>
      </c>
    </row>
    <row r="47" spans="2:6" x14ac:dyDescent="0.25">
      <c r="B47" s="21">
        <v>44663</v>
      </c>
      <c r="C47" s="4" t="str">
        <f t="shared" si="0"/>
        <v>April</v>
      </c>
      <c r="D47" s="4" t="s">
        <v>22</v>
      </c>
      <c r="E47" s="4" t="s">
        <v>58</v>
      </c>
      <c r="F47" s="22">
        <v>49</v>
      </c>
    </row>
    <row r="48" spans="2:6" x14ac:dyDescent="0.25">
      <c r="B48" s="21">
        <v>44665</v>
      </c>
      <c r="C48" s="4" t="str">
        <f t="shared" si="0"/>
        <v>April</v>
      </c>
      <c r="D48" s="4" t="s">
        <v>23</v>
      </c>
      <c r="E48" s="4" t="s">
        <v>43</v>
      </c>
      <c r="F48" s="22">
        <v>249</v>
      </c>
    </row>
    <row r="49" spans="2:6" x14ac:dyDescent="0.25">
      <c r="B49" s="21">
        <v>44679</v>
      </c>
      <c r="C49" s="4" t="str">
        <f t="shared" si="0"/>
        <v>April</v>
      </c>
      <c r="D49" s="4" t="s">
        <v>44</v>
      </c>
      <c r="E49" s="4" t="s">
        <v>45</v>
      </c>
      <c r="F49" s="22">
        <v>1243</v>
      </c>
    </row>
    <row r="50" spans="2:6" x14ac:dyDescent="0.25">
      <c r="B50" s="21">
        <v>44679</v>
      </c>
      <c r="C50" s="4" t="str">
        <f t="shared" si="0"/>
        <v>April</v>
      </c>
      <c r="D50" s="4" t="s">
        <v>13</v>
      </c>
      <c r="E50" s="4" t="s">
        <v>46</v>
      </c>
      <c r="F50" s="22">
        <v>3500</v>
      </c>
    </row>
    <row r="51" spans="2:6" x14ac:dyDescent="0.25">
      <c r="B51" s="21">
        <v>44679</v>
      </c>
      <c r="C51" s="4" t="str">
        <f t="shared" si="0"/>
        <v>April</v>
      </c>
      <c r="D51" s="4" t="s">
        <v>14</v>
      </c>
      <c r="E51" s="4" t="s">
        <v>47</v>
      </c>
      <c r="F51" s="22">
        <v>258</v>
      </c>
    </row>
    <row r="52" spans="2:6" x14ac:dyDescent="0.25">
      <c r="B52" s="21">
        <v>44682</v>
      </c>
      <c r="C52" s="4" t="str">
        <f t="shared" si="0"/>
        <v>May</v>
      </c>
      <c r="D52" s="4" t="s">
        <v>18</v>
      </c>
      <c r="E52" s="4" t="s">
        <v>36</v>
      </c>
      <c r="F52" s="22">
        <v>1250</v>
      </c>
    </row>
    <row r="53" spans="2:6" x14ac:dyDescent="0.25">
      <c r="B53" s="21">
        <v>44682</v>
      </c>
      <c r="C53" s="4" t="str">
        <f t="shared" si="0"/>
        <v>May</v>
      </c>
      <c r="D53" s="4" t="s">
        <v>19</v>
      </c>
      <c r="E53" s="4" t="s">
        <v>37</v>
      </c>
      <c r="F53" s="22">
        <v>152</v>
      </c>
    </row>
    <row r="54" spans="2:6" x14ac:dyDescent="0.25">
      <c r="B54" s="21">
        <v>44682</v>
      </c>
      <c r="C54" s="4" t="str">
        <f t="shared" si="0"/>
        <v>May</v>
      </c>
      <c r="D54" s="4" t="s">
        <v>20</v>
      </c>
      <c r="E54" s="4" t="s">
        <v>38</v>
      </c>
      <c r="F54" s="22">
        <v>52</v>
      </c>
    </row>
    <row r="55" spans="2:6" x14ac:dyDescent="0.25">
      <c r="B55" s="21">
        <v>44689</v>
      </c>
      <c r="C55" s="4" t="str">
        <f t="shared" si="0"/>
        <v>May</v>
      </c>
      <c r="D55" s="4" t="s">
        <v>21</v>
      </c>
      <c r="E55" s="4" t="s">
        <v>39</v>
      </c>
      <c r="F55" s="22">
        <v>449</v>
      </c>
    </row>
    <row r="56" spans="2:6" x14ac:dyDescent="0.25">
      <c r="B56" s="21">
        <v>44692</v>
      </c>
      <c r="C56" s="4" t="str">
        <f t="shared" si="0"/>
        <v>May</v>
      </c>
      <c r="D56" s="4" t="s">
        <v>22</v>
      </c>
      <c r="E56" s="4" t="s">
        <v>40</v>
      </c>
      <c r="F56" s="22">
        <v>245</v>
      </c>
    </row>
    <row r="57" spans="2:6" x14ac:dyDescent="0.25">
      <c r="B57" s="21">
        <v>44693</v>
      </c>
      <c r="C57" s="4" t="str">
        <f t="shared" si="0"/>
        <v>May</v>
      </c>
      <c r="D57" s="4" t="s">
        <v>22</v>
      </c>
      <c r="E57" s="4" t="s">
        <v>41</v>
      </c>
      <c r="F57" s="22">
        <v>168</v>
      </c>
    </row>
    <row r="58" spans="2:6" x14ac:dyDescent="0.25">
      <c r="B58" s="21">
        <v>44693</v>
      </c>
      <c r="C58" s="4" t="str">
        <f>TEXT(B55,"MMMM")</f>
        <v>May</v>
      </c>
      <c r="D58" s="4" t="s">
        <v>22</v>
      </c>
      <c r="E58" s="4" t="s">
        <v>59</v>
      </c>
      <c r="F58" s="22">
        <v>233</v>
      </c>
    </row>
    <row r="59" spans="2:6" x14ac:dyDescent="0.25">
      <c r="B59" s="21">
        <v>44695</v>
      </c>
      <c r="C59" s="4" t="str">
        <f t="shared" ref="C59:C95" si="1">TEXT(B59,"MMMM")</f>
        <v>May</v>
      </c>
      <c r="D59" s="4" t="s">
        <v>23</v>
      </c>
      <c r="E59" s="4" t="s">
        <v>43</v>
      </c>
      <c r="F59" s="22">
        <v>249</v>
      </c>
    </row>
    <row r="60" spans="2:6" x14ac:dyDescent="0.25">
      <c r="B60" s="21">
        <v>44709</v>
      </c>
      <c r="C60" s="4" t="str">
        <f t="shared" si="1"/>
        <v>May</v>
      </c>
      <c r="D60" s="4" t="s">
        <v>44</v>
      </c>
      <c r="E60" s="4" t="s">
        <v>45</v>
      </c>
      <c r="F60" s="22">
        <v>1450</v>
      </c>
    </row>
    <row r="61" spans="2:6" x14ac:dyDescent="0.25">
      <c r="B61" s="21">
        <v>44709</v>
      </c>
      <c r="C61" s="4" t="str">
        <f t="shared" si="1"/>
        <v>May</v>
      </c>
      <c r="D61" s="4" t="s">
        <v>13</v>
      </c>
      <c r="E61" s="4" t="s">
        <v>46</v>
      </c>
      <c r="F61" s="22">
        <v>3500</v>
      </c>
    </row>
    <row r="62" spans="2:6" x14ac:dyDescent="0.25">
      <c r="B62" s="21">
        <v>44709</v>
      </c>
      <c r="C62" s="4" t="str">
        <f t="shared" si="1"/>
        <v>May</v>
      </c>
      <c r="D62" s="4" t="s">
        <v>14</v>
      </c>
      <c r="E62" s="4" t="s">
        <v>47</v>
      </c>
      <c r="F62" s="22">
        <v>366</v>
      </c>
    </row>
    <row r="63" spans="2:6" x14ac:dyDescent="0.25">
      <c r="B63" s="21">
        <v>44710</v>
      </c>
      <c r="C63" s="4" t="str">
        <f t="shared" si="1"/>
        <v>May</v>
      </c>
      <c r="D63" s="4" t="s">
        <v>14</v>
      </c>
      <c r="E63" s="4" t="s">
        <v>60</v>
      </c>
      <c r="F63" s="22">
        <v>1000</v>
      </c>
    </row>
    <row r="64" spans="2:6" x14ac:dyDescent="0.25">
      <c r="B64" s="21">
        <v>44713</v>
      </c>
      <c r="C64" s="4" t="str">
        <f t="shared" si="1"/>
        <v>June</v>
      </c>
      <c r="D64" s="4" t="s">
        <v>18</v>
      </c>
      <c r="E64" s="4" t="s">
        <v>36</v>
      </c>
      <c r="F64" s="22">
        <v>1250</v>
      </c>
    </row>
    <row r="65" spans="2:6" x14ac:dyDescent="0.25">
      <c r="B65" s="21">
        <v>44713</v>
      </c>
      <c r="C65" s="4" t="str">
        <f t="shared" si="1"/>
        <v>June</v>
      </c>
      <c r="D65" s="4" t="s">
        <v>19</v>
      </c>
      <c r="E65" s="4" t="s">
        <v>37</v>
      </c>
      <c r="F65" s="22">
        <v>152</v>
      </c>
    </row>
    <row r="66" spans="2:6" x14ac:dyDescent="0.25">
      <c r="B66" s="21">
        <v>44713</v>
      </c>
      <c r="C66" s="4" t="str">
        <f t="shared" si="1"/>
        <v>June</v>
      </c>
      <c r="D66" s="4" t="s">
        <v>20</v>
      </c>
      <c r="E66" s="4" t="s">
        <v>38</v>
      </c>
      <c r="F66" s="22">
        <v>52</v>
      </c>
    </row>
    <row r="67" spans="2:6" x14ac:dyDescent="0.25">
      <c r="B67" s="21">
        <v>44720</v>
      </c>
      <c r="C67" s="4" t="str">
        <f t="shared" si="1"/>
        <v>June</v>
      </c>
      <c r="D67" s="4" t="s">
        <v>21</v>
      </c>
      <c r="E67" s="4" t="s">
        <v>39</v>
      </c>
      <c r="F67" s="22">
        <v>560</v>
      </c>
    </row>
    <row r="68" spans="2:6" x14ac:dyDescent="0.25">
      <c r="B68" s="21">
        <v>44723</v>
      </c>
      <c r="C68" s="4" t="str">
        <f t="shared" si="1"/>
        <v>June</v>
      </c>
      <c r="D68" s="4" t="s">
        <v>22</v>
      </c>
      <c r="E68" s="4" t="s">
        <v>61</v>
      </c>
      <c r="F68" s="22">
        <v>280</v>
      </c>
    </row>
    <row r="69" spans="2:6" x14ac:dyDescent="0.25">
      <c r="B69" s="21">
        <v>44724</v>
      </c>
      <c r="C69" s="4" t="str">
        <f t="shared" si="1"/>
        <v>June</v>
      </c>
      <c r="D69" s="4" t="s">
        <v>22</v>
      </c>
      <c r="E69" s="4" t="s">
        <v>41</v>
      </c>
      <c r="F69" s="22">
        <v>250</v>
      </c>
    </row>
    <row r="70" spans="2:6" x14ac:dyDescent="0.25">
      <c r="B70" s="21">
        <v>44724</v>
      </c>
      <c r="C70" s="4" t="str">
        <f t="shared" si="1"/>
        <v>June</v>
      </c>
      <c r="D70" s="4" t="s">
        <v>22</v>
      </c>
      <c r="E70" s="4" t="s">
        <v>62</v>
      </c>
      <c r="F70" s="22">
        <v>99</v>
      </c>
    </row>
    <row r="71" spans="2:6" x14ac:dyDescent="0.25">
      <c r="B71" s="21">
        <v>44742</v>
      </c>
      <c r="C71" s="4" t="str">
        <f t="shared" si="1"/>
        <v>June</v>
      </c>
      <c r="D71" s="4" t="s">
        <v>44</v>
      </c>
      <c r="E71" s="4" t="s">
        <v>45</v>
      </c>
      <c r="F71" s="22">
        <v>2232</v>
      </c>
    </row>
    <row r="72" spans="2:6" x14ac:dyDescent="0.25">
      <c r="B72" s="21">
        <v>44742</v>
      </c>
      <c r="C72" s="4" t="str">
        <f t="shared" si="1"/>
        <v>June</v>
      </c>
      <c r="D72" s="4" t="s">
        <v>13</v>
      </c>
      <c r="E72" s="4" t="s">
        <v>46</v>
      </c>
      <c r="F72" s="22">
        <v>3500</v>
      </c>
    </row>
    <row r="73" spans="2:6" x14ac:dyDescent="0.25">
      <c r="B73" s="21">
        <v>44742</v>
      </c>
      <c r="C73" s="4" t="str">
        <f t="shared" si="1"/>
        <v>June</v>
      </c>
      <c r="D73" s="4" t="s">
        <v>14</v>
      </c>
      <c r="E73" s="4" t="s">
        <v>47</v>
      </c>
      <c r="F73" s="22">
        <v>199</v>
      </c>
    </row>
    <row r="74" spans="2:6" x14ac:dyDescent="0.25">
      <c r="B74" s="21">
        <v>44742</v>
      </c>
      <c r="C74" s="4" t="str">
        <f t="shared" si="1"/>
        <v>June</v>
      </c>
      <c r="D74" s="4" t="s">
        <v>15</v>
      </c>
      <c r="E74" s="4" t="s">
        <v>47</v>
      </c>
      <c r="F74" s="22">
        <v>250</v>
      </c>
    </row>
    <row r="75" spans="2:6" x14ac:dyDescent="0.25">
      <c r="B75" s="21">
        <v>44743</v>
      </c>
      <c r="C75" s="4" t="str">
        <f t="shared" si="1"/>
        <v>July</v>
      </c>
      <c r="D75" s="4" t="s">
        <v>19</v>
      </c>
      <c r="E75" s="4" t="s">
        <v>48</v>
      </c>
      <c r="F75" s="22">
        <v>110</v>
      </c>
    </row>
    <row r="76" spans="2:6" x14ac:dyDescent="0.25">
      <c r="B76" s="21">
        <v>44743</v>
      </c>
      <c r="C76" s="4" t="str">
        <f t="shared" si="1"/>
        <v>July</v>
      </c>
      <c r="D76" s="4" t="s">
        <v>20</v>
      </c>
      <c r="E76" s="4" t="s">
        <v>38</v>
      </c>
      <c r="F76" s="22">
        <v>45</v>
      </c>
    </row>
    <row r="77" spans="2:6" x14ac:dyDescent="0.25">
      <c r="B77" s="21">
        <v>44743</v>
      </c>
      <c r="C77" s="4" t="str">
        <f t="shared" si="1"/>
        <v>July</v>
      </c>
      <c r="D77" s="4" t="s">
        <v>18</v>
      </c>
      <c r="E77" s="4" t="s">
        <v>36</v>
      </c>
      <c r="F77" s="22">
        <v>1250</v>
      </c>
    </row>
    <row r="78" spans="2:6" x14ac:dyDescent="0.25">
      <c r="B78" s="21">
        <v>44753</v>
      </c>
      <c r="C78" s="4" t="str">
        <f t="shared" si="1"/>
        <v>July</v>
      </c>
      <c r="D78" s="4" t="s">
        <v>21</v>
      </c>
      <c r="E78" s="4" t="s">
        <v>39</v>
      </c>
      <c r="F78" s="22">
        <v>208</v>
      </c>
    </row>
    <row r="79" spans="2:6" x14ac:dyDescent="0.25">
      <c r="B79" s="21">
        <v>44753</v>
      </c>
      <c r="C79" s="4" t="str">
        <f t="shared" si="1"/>
        <v>July</v>
      </c>
      <c r="D79" s="4" t="s">
        <v>22</v>
      </c>
      <c r="E79" s="4" t="s">
        <v>54</v>
      </c>
      <c r="F79" s="22">
        <v>245</v>
      </c>
    </row>
    <row r="80" spans="2:6" x14ac:dyDescent="0.25">
      <c r="B80" s="21">
        <v>44753</v>
      </c>
      <c r="C80" s="4" t="str">
        <f t="shared" si="1"/>
        <v>July</v>
      </c>
      <c r="D80" s="4" t="s">
        <v>22</v>
      </c>
      <c r="E80" s="4" t="s">
        <v>56</v>
      </c>
      <c r="F80" s="22">
        <v>49</v>
      </c>
    </row>
    <row r="81" spans="2:6" x14ac:dyDescent="0.25">
      <c r="B81" s="21">
        <v>44755</v>
      </c>
      <c r="C81" s="4" t="str">
        <f t="shared" si="1"/>
        <v>July</v>
      </c>
      <c r="D81" s="4" t="s">
        <v>23</v>
      </c>
      <c r="E81" s="4" t="s">
        <v>43</v>
      </c>
      <c r="F81" s="22">
        <v>399</v>
      </c>
    </row>
    <row r="82" spans="2:6" x14ac:dyDescent="0.25">
      <c r="B82" s="21">
        <v>44770</v>
      </c>
      <c r="C82" s="4" t="str">
        <f t="shared" si="1"/>
        <v>July</v>
      </c>
      <c r="D82" s="4" t="s">
        <v>44</v>
      </c>
      <c r="E82" s="4" t="s">
        <v>45</v>
      </c>
      <c r="F82" s="22">
        <v>2231</v>
      </c>
    </row>
    <row r="83" spans="2:6" x14ac:dyDescent="0.25">
      <c r="B83" s="21">
        <v>44770</v>
      </c>
      <c r="C83" s="4" t="str">
        <f t="shared" si="1"/>
        <v>July</v>
      </c>
      <c r="D83" s="4" t="s">
        <v>13</v>
      </c>
      <c r="E83" s="4" t="s">
        <v>46</v>
      </c>
      <c r="F83" s="22">
        <v>3500</v>
      </c>
    </row>
    <row r="84" spans="2:6" x14ac:dyDescent="0.25">
      <c r="B84" s="21">
        <v>44770</v>
      </c>
      <c r="C84" s="4" t="str">
        <f t="shared" si="1"/>
        <v>July</v>
      </c>
      <c r="D84" s="4" t="s">
        <v>15</v>
      </c>
      <c r="E84" s="4" t="s">
        <v>53</v>
      </c>
      <c r="F84" s="22">
        <v>215</v>
      </c>
    </row>
    <row r="85" spans="2:6" x14ac:dyDescent="0.25">
      <c r="B85" s="21">
        <v>44770</v>
      </c>
      <c r="C85" s="4" t="str">
        <f t="shared" si="1"/>
        <v>July</v>
      </c>
      <c r="D85" s="4" t="s">
        <v>14</v>
      </c>
      <c r="E85" s="4" t="s">
        <v>47</v>
      </c>
      <c r="F85" s="22">
        <v>59</v>
      </c>
    </row>
    <row r="86" spans="2:6" x14ac:dyDescent="0.25">
      <c r="B86" s="21">
        <v>44774</v>
      </c>
      <c r="C86" s="4" t="str">
        <f t="shared" si="1"/>
        <v>August</v>
      </c>
      <c r="D86" s="4" t="s">
        <v>19</v>
      </c>
      <c r="E86" s="4" t="s">
        <v>48</v>
      </c>
      <c r="F86" s="22">
        <v>110</v>
      </c>
    </row>
    <row r="87" spans="2:6" x14ac:dyDescent="0.25">
      <c r="B87" s="21">
        <v>44774</v>
      </c>
      <c r="C87" s="4" t="str">
        <f t="shared" si="1"/>
        <v>August</v>
      </c>
      <c r="D87" s="4" t="s">
        <v>18</v>
      </c>
      <c r="E87" s="4" t="s">
        <v>36</v>
      </c>
      <c r="F87" s="22">
        <v>1250</v>
      </c>
    </row>
    <row r="88" spans="2:6" x14ac:dyDescent="0.25">
      <c r="B88" s="21">
        <v>44774</v>
      </c>
      <c r="C88" s="4" t="str">
        <f t="shared" si="1"/>
        <v>August</v>
      </c>
      <c r="D88" s="4" t="s">
        <v>20</v>
      </c>
      <c r="E88" s="4" t="s">
        <v>38</v>
      </c>
      <c r="F88" s="22">
        <v>52</v>
      </c>
    </row>
    <row r="89" spans="2:6" x14ac:dyDescent="0.25">
      <c r="B89" s="21">
        <v>44774</v>
      </c>
      <c r="C89" s="4" t="str">
        <f t="shared" si="1"/>
        <v>August</v>
      </c>
      <c r="D89" s="4" t="s">
        <v>21</v>
      </c>
      <c r="E89" s="4" t="s">
        <v>39</v>
      </c>
      <c r="F89" s="22">
        <v>208</v>
      </c>
    </row>
    <row r="90" spans="2:6" x14ac:dyDescent="0.25">
      <c r="B90" s="21">
        <v>44789</v>
      </c>
      <c r="C90" s="4" t="str">
        <f t="shared" si="1"/>
        <v>August</v>
      </c>
      <c r="D90" s="4" t="s">
        <v>22</v>
      </c>
      <c r="E90" s="4" t="s">
        <v>63</v>
      </c>
      <c r="F90" s="22">
        <v>147</v>
      </c>
    </row>
    <row r="91" spans="2:6" x14ac:dyDescent="0.25">
      <c r="B91" s="21">
        <v>44789</v>
      </c>
      <c r="C91" s="4" t="str">
        <f t="shared" si="1"/>
        <v>August</v>
      </c>
      <c r="D91" s="4" t="s">
        <v>23</v>
      </c>
      <c r="E91" s="4" t="s">
        <v>64</v>
      </c>
      <c r="F91" s="22">
        <v>149</v>
      </c>
    </row>
    <row r="92" spans="2:6" x14ac:dyDescent="0.25">
      <c r="B92" s="21">
        <v>44789</v>
      </c>
      <c r="C92" s="4" t="str">
        <f t="shared" si="1"/>
        <v>August</v>
      </c>
      <c r="D92" s="4" t="s">
        <v>44</v>
      </c>
      <c r="E92" s="4" t="s">
        <v>45</v>
      </c>
      <c r="F92" s="22">
        <v>2300</v>
      </c>
    </row>
    <row r="93" spans="2:6" x14ac:dyDescent="0.25">
      <c r="B93" s="21">
        <v>44801</v>
      </c>
      <c r="C93" s="4" t="str">
        <f t="shared" si="1"/>
        <v>August</v>
      </c>
      <c r="D93" s="4" t="s">
        <v>13</v>
      </c>
      <c r="E93" s="4" t="s">
        <v>46</v>
      </c>
      <c r="F93" s="22">
        <v>3500</v>
      </c>
    </row>
    <row r="94" spans="2:6" x14ac:dyDescent="0.25">
      <c r="B94" s="21">
        <v>44801</v>
      </c>
      <c r="C94" s="4" t="str">
        <f t="shared" si="1"/>
        <v>August</v>
      </c>
      <c r="D94" s="4" t="s">
        <v>15</v>
      </c>
      <c r="E94" s="4" t="s">
        <v>53</v>
      </c>
      <c r="F94" s="22">
        <v>350</v>
      </c>
    </row>
    <row r="95" spans="2:6" x14ac:dyDescent="0.25">
      <c r="B95" s="21">
        <v>44801</v>
      </c>
      <c r="C95" s="4" t="str">
        <f t="shared" si="1"/>
        <v>August</v>
      </c>
      <c r="D95" s="4" t="s">
        <v>14</v>
      </c>
      <c r="E95" s="4" t="s">
        <v>47</v>
      </c>
      <c r="F95" s="22">
        <v>25</v>
      </c>
    </row>
  </sheetData>
  <dataValidations count="1">
    <dataValidation type="list" allowBlank="1" showErrorMessage="1" sqref="D5:D95" xr:uid="{2507620B-5E4F-4966-8F91-B09AB9F996C4}">
      <formula1>$G$5:$G$14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2025-10-28T13:43:48Z</dcterms:created>
  <dcterms:modified xsi:type="dcterms:W3CDTF">2025-10-28T16:20:10Z</dcterms:modified>
</cp:coreProperties>
</file>